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d &amp; Assgn - A" sheetId="1" state="visible" r:id="rId3"/>
    <sheet name="CO Attainment - A" sheetId="2" state="visible" r:id="rId4"/>
    <sheet name="Mid &amp; Assgn - B" sheetId="3" state="visible" r:id="rId5"/>
    <sheet name="CO Attainment - B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<sst xmlns="http://schemas.openxmlformats.org/spreadsheetml/2006/main" count="270" uniqueCount="83">
  <si>
    <t xml:space="preserve">ANIL NEERUKONDA INSTITUTE OF TECHNOLOGY AND SCIENCES</t>
  </si>
  <si>
    <t xml:space="preserve">Department of Computer Science Engineering (Artificial Intelligence &amp; Machine Learning)</t>
  </si>
  <si>
    <t xml:space="preserve">Course Outcome &amp; Program Outcome Attainment - INTERNAL EXAMS</t>
  </si>
  <si>
    <t xml:space="preserve">ACADEMIC YEAR: 2025-26</t>
  </si>
  <si>
    <t xml:space="preserve">BATCH: 2025-2029</t>
  </si>
  <si>
    <t xml:space="preserve">COURSE CODE &amp; TITLE: 23CM9201 - JAVA PROGRAMMING PRACTICES</t>
  </si>
  <si>
    <t xml:space="preserve">COURSE OUTCOMES: CO1 – CO4</t>
  </si>
  <si>
    <t xml:space="preserve">YEAR, BRANCH &amp; SECTION: 2/4 CSM-A</t>
  </si>
  <si>
    <t xml:space="preserve">CO TARGET: 2.25</t>
  </si>
  <si>
    <t xml:space="preserve">COURSE INSTRUCTOR(S): MR. S.YOGANANDH</t>
  </si>
  <si>
    <t xml:space="preserve">Total No. of Students: 75</t>
  </si>
  <si>
    <t xml:space="preserve">S
No</t>
  </si>
  <si>
    <t xml:space="preserve">Register No.</t>
  </si>
  <si>
    <t xml:space="preserve">Student Name</t>
  </si>
  <si>
    <t xml:space="preserve">MID - 1</t>
  </si>
  <si>
    <t xml:space="preserve">MID - 2</t>
  </si>
  <si>
    <t xml:space="preserve">Internal Lab</t>
  </si>
  <si>
    <t xml:space="preserve">Weekly
Analysis
(10)</t>
  </si>
  <si>
    <t xml:space="preserve">Record
(10)</t>
  </si>
  <si>
    <t xml:space="preserve">Attendance
(5)</t>
  </si>
  <si>
    <t xml:space="preserve">CO1</t>
  </si>
  <si>
    <t xml:space="preserve">CO2</t>
  </si>
  <si>
    <t xml:space="preserve">CO3</t>
  </si>
  <si>
    <t xml:space="preserve">CO4</t>
  </si>
  <si>
    <t xml:space="preserve">CO1 – CO4</t>
  </si>
  <si>
    <t xml:space="preserve">Q 1</t>
  </si>
  <si>
    <t xml:space="preserve">Q 2</t>
  </si>
  <si>
    <t xml:space="preserve">Q 3</t>
  </si>
  <si>
    <t xml:space="preserve">Q 4</t>
  </si>
  <si>
    <t xml:space="preserve">Write Up
(10)</t>
  </si>
  <si>
    <t xml:space="preserve">Execution
(5)</t>
  </si>
  <si>
    <t xml:space="preserve">Viva
(5)</t>
  </si>
  <si>
    <t xml:space="preserve">a</t>
  </si>
  <si>
    <t xml:space="preserve">b</t>
  </si>
  <si>
    <t xml:space="preserve">c</t>
  </si>
  <si>
    <t xml:space="preserve">CLASS AVERAGE</t>
  </si>
  <si>
    <t xml:space="preserve">COURSE OUTCOME DEFINITIONS</t>
  </si>
  <si>
    <t xml:space="preserve">CO1: Recall the history of Java &amp; demonstrate basic programs using Java language fundamentals</t>
  </si>
  <si>
    <t xml:space="preserve">CO2: Apply OOP concepts — classes, inheritance, polymorphism, wrapper classes, packages &amp; strings</t>
  </si>
  <si>
    <t xml:space="preserve">CO3: Implement exception handling, multithreading &amp; I/O stream operations</t>
  </si>
  <si>
    <t xml:space="preserve">CO4: Develop applications using Collections framework &amp; Java standard libraries</t>
  </si>
  <si>
    <t xml:space="preserve">COURSE CODE: 23CM9201 - JAVA PROGRAMMING PRACTICES</t>
  </si>
  <si>
    <t xml:space="preserve">MID-1 (30M)</t>
  </si>
  <si>
    <t xml:space="preserve">MID-2 (30M)</t>
  </si>
  <si>
    <t xml:space="preserve">Internal Lab
(20M)</t>
  </si>
  <si>
    <t xml:space="preserve">Weekly
Analysis
(10M)</t>
  </si>
  <si>
    <t xml:space="preserve">Record
(10M)</t>
  </si>
  <si>
    <t xml:space="preserve">Attendance
(5M)</t>
  </si>
  <si>
    <t xml:space="preserve">Student-wise CO Attainment (3-Point Scale)</t>
  </si>
  <si>
    <t xml:space="preserve">External Lab Exam
(CO1–CO4)</t>
  </si>
  <si>
    <t xml:space="preserve">Internal
Total</t>
  </si>
  <si>
    <t xml:space="preserve">Overall
Attainment</t>
  </si>
  <si>
    <t xml:space="preserve">CO1
(30M)</t>
  </si>
  <si>
    <t xml:space="preserve">CO2
(30M)</t>
  </si>
  <si>
    <t xml:space="preserve">Total
(30M)</t>
  </si>
  <si>
    <t xml:space="preserve">Scaled
(15M)</t>
  </si>
  <si>
    <t xml:space="preserve">CO3
(30M)</t>
  </si>
  <si>
    <t xml:space="preserve">CO4
(30M)</t>
  </si>
  <si>
    <t xml:space="preserve">Write Up
(10M)</t>
  </si>
  <si>
    <t xml:space="preserve">Execution
(5M)</t>
  </si>
  <si>
    <t xml:space="preserve">Viva
(5M)</t>
  </si>
  <si>
    <t xml:space="preserve">Marks</t>
  </si>
  <si>
    <t xml:space="preserve">CLASS CO ATTAINMENT</t>
  </si>
  <si>
    <t xml:space="preserve">CO-PO / CO-PSO MAPPING MATRIX</t>
  </si>
  <si>
    <t xml:space="preserve">CO \ PO</t>
  </si>
  <si>
    <t xml:space="preserve">PO1</t>
  </si>
  <si>
    <t xml:space="preserve">PO2</t>
  </si>
  <si>
    <t xml:space="preserve">PO3</t>
  </si>
  <si>
    <t xml:space="preserve">PO4</t>
  </si>
  <si>
    <t xml:space="preserve">PO5</t>
  </si>
  <si>
    <t xml:space="preserve">PO6</t>
  </si>
  <si>
    <t xml:space="preserve">PO7</t>
  </si>
  <si>
    <t xml:space="preserve">PO8</t>
  </si>
  <si>
    <t xml:space="preserve">PO9</t>
  </si>
  <si>
    <t xml:space="preserve">PO10</t>
  </si>
  <si>
    <t xml:space="preserve">PO11</t>
  </si>
  <si>
    <t xml:space="preserve">PO12</t>
  </si>
  <si>
    <t xml:space="preserve">PSO1</t>
  </si>
  <si>
    <t xml:space="preserve">PSO2</t>
  </si>
  <si>
    <t xml:space="preserve">CO
Attainment</t>
  </si>
  <si>
    <t xml:space="preserve">CO TARGET</t>
  </si>
  <si>
    <t xml:space="preserve">ATTAINMENT SCALE:   3 = ≥ 70%  (Highly Attained)     2 = 50–69%  (Moderately Attained)     1 = 35–49%  (Partially Attained)     0 = &lt; 35%  (Not Attained)     |     CO-PO Mapping:  3=Strong  2=Moderate  1=Slight  0=No Relation</t>
  </si>
  <si>
    <t xml:space="preserve">YEAR, BRANCH &amp; SECTION: 2/4 CSM-B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</si>
</sst>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##"/>
    <numFmt numFmtId="166" formatCode="0.00"/>
    <numFmt numFmtId="167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F5496"/>
        <bgColor rgb="FF1F3864"/>
      </patternFill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  <fill>
      <patternFill patternType="solid">
        <fgColor rgb="FF7030A0"/>
        <bgColor rgb="FF800080"/>
      </patternFill>
    </fill>
    <fill>
      <patternFill patternType="solid">
        <fgColor rgb="FF0070C0"/>
        <bgColor rgb="FF008080"/>
      </patternFill>
    </fill>
    <fill>
      <patternFill patternType="solid">
        <fgColor rgb="FF375623"/>
        <bgColor rgb="FF404040"/>
      </patternFill>
    </fill>
    <fill>
      <patternFill patternType="solid">
        <fgColor rgb="FF404040"/>
        <bgColor rgb="FF375623"/>
      </patternFill>
    </fill>
    <fill>
      <patternFill patternType="solid">
        <fgColor rgb="FF4472C4"/>
        <bgColor rgb="FF666699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9E480E"/>
        <bgColor rgb="FFC55A11"/>
      </patternFill>
    </fill>
    <fill>
      <patternFill patternType="solid">
        <fgColor rgb="FFEBF3FB"/>
        <bgColor rgb="FFF2F2F2"/>
      </patternFill>
    </fill>
    <fill>
      <patternFill patternType="solid">
        <fgColor rgb="FFFFF9C4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F9C4"/>
      </patternFill>
    </fill>
    <fill>
      <patternFill patternType="solid">
        <fgColor rgb="FFC55A11"/>
        <bgColor rgb="FF9E480E"/>
      </patternFill>
    </fill>
    <fill>
      <patternFill patternType="solid">
        <fgColor rgb="FFF2F2F2"/>
        <bgColor rgb="FFEBF3FB"/>
      </patternFill>
    </fill>
    <fill>
      <patternFill patternType="solid">
        <fgColor rgb="FFFCE4D6"/>
        <bgColor rgb="FFFFF2CC"/>
      </patternFill>
    </fill>
    <fill>
      <patternFill patternType="solid">
        <fgColor rgb="FFFFD7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9C4"/>
      <rgbColor rgb="FFEBF3FB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1F2"/>
      <rgbColor rgb="FFFFF2CC"/>
      <rgbColor rgb="FF99CCFF"/>
      <rgbColor rgb="FFFF99CC"/>
      <rgbColor rgb="FFCC99FF"/>
      <rgbColor rgb="FFFCE4D6"/>
      <rgbColor rgb="FF4472C4"/>
      <rgbColor rgb="FF33CCCC"/>
      <rgbColor rgb="FF99CC00"/>
      <rgbColor rgb="FFFFD700"/>
      <rgbColor rgb="FFFF9900"/>
      <rgbColor rgb="FFED7D31"/>
      <rgbColor rgb="FF666699"/>
      <rgbColor rgb="FF70AD47"/>
      <rgbColor rgb="FF1F3864"/>
      <rgbColor rgb="FF339966"/>
      <rgbColor rgb="FF003300"/>
      <rgbColor rgb="FF375623"/>
      <rgbColor rgb="FF9E480E"/>
      <rgbColor rgb="FFC55A11"/>
      <rgbColor rgb="FF2F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6" topLeftCell="D17" activePane="bottomRight" state="frozen"/>
      <selection pane="topLeft" activeCell="A1" activeCellId="0" sqref="A1"/>
      <selection pane="topRight" activeCell="D1" activeCellId="0" sqref="D1"/>
      <selection pane="bottomLeft" activeCell="A17" activeCellId="0" sqref="A1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25" min="4" style="0" width="5"/>
    <col collapsed="false" customWidth="true" hidden="false" outlineLevel="0" max="26" min="26" style="0" width="9"/>
    <col collapsed="false" customWidth="true" hidden="false" outlineLevel="0" max="28" min="27" style="0" width="7"/>
    <col collapsed="false" customWidth="true" hidden="false" outlineLevel="0" max="29" min="29" style="0" width="10"/>
    <col collapsed="false" customWidth="true" hidden="false" outlineLevel="0" max="31" min="30" style="0" width="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customFormat="false" ht="21.75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customFormat="false" ht="15" hidden="false" customHeight="false" outlineLevel="0" collapsed="false">
      <c r="A7" s="5" t="s">
        <v>3</v>
      </c>
      <c r="B7" s="5"/>
      <c r="C7" s="5"/>
      <c r="D7" s="5" t="s">
        <v>4</v>
      </c>
      <c r="E7" s="5"/>
      <c r="F7" s="5"/>
      <c r="G7" s="5"/>
      <c r="H7" s="5"/>
      <c r="I7" s="5"/>
      <c r="J7" s="5"/>
      <c r="K7" s="5"/>
      <c r="L7" s="5" t="s">
        <v>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customFormat="false" ht="15" hidden="false" customHeight="false" outlineLevel="0" collapsed="false">
      <c r="A8" s="5" t="s">
        <v>6</v>
      </c>
      <c r="B8" s="5"/>
      <c r="C8" s="5"/>
      <c r="D8" s="5" t="s">
        <v>7</v>
      </c>
      <c r="E8" s="5"/>
      <c r="F8" s="5"/>
      <c r="G8" s="5"/>
      <c r="H8" s="5"/>
      <c r="I8" s="5"/>
      <c r="J8" s="5"/>
      <c r="K8" s="5"/>
      <c r="L8" s="5" t="s">
        <v>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customFormat="false" ht="15" hidden="false" customHeight="false" outlineLevel="0" collapsed="false">
      <c r="A9" s="5" t="s">
        <v>9</v>
      </c>
      <c r="B9" s="5"/>
      <c r="C9" s="5"/>
      <c r="D9" s="5" t="s">
        <v>10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customFormat="false" ht="19.5" hidden="false" customHeight="true" outlineLevel="0" collapsed="false">
      <c r="A11" s="6" t="s">
        <v>11</v>
      </c>
      <c r="B11" s="6" t="s">
        <v>12</v>
      </c>
      <c r="C11" s="6" t="s">
        <v>13</v>
      </c>
      <c r="D11" s="7" t="s">
        <v>14</v>
      </c>
      <c r="E11" s="7"/>
      <c r="F11" s="7"/>
      <c r="G11" s="7"/>
      <c r="H11" s="7"/>
      <c r="I11" s="7"/>
      <c r="J11" s="7"/>
      <c r="K11" s="7"/>
      <c r="L11" s="7"/>
      <c r="M11" s="7"/>
      <c r="N11" s="7" t="s">
        <v>15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 t="s">
        <v>16</v>
      </c>
      <c r="AA11" s="8"/>
      <c r="AB11" s="8"/>
      <c r="AC11" s="9" t="s">
        <v>17</v>
      </c>
      <c r="AD11" s="10" t="s">
        <v>18</v>
      </c>
      <c r="AE11" s="11" t="s">
        <v>19</v>
      </c>
    </row>
    <row r="12" customFormat="false" ht="19.5" hidden="false" customHeight="true" outlineLevel="0" collapsed="false">
      <c r="A12" s="6"/>
      <c r="B12" s="6"/>
      <c r="C12" s="6"/>
      <c r="D12" s="12" t="s">
        <v>20</v>
      </c>
      <c r="E12" s="12"/>
      <c r="F12" s="12"/>
      <c r="G12" s="12"/>
      <c r="H12" s="12"/>
      <c r="I12" s="12"/>
      <c r="J12" s="13" t="s">
        <v>21</v>
      </c>
      <c r="K12" s="13"/>
      <c r="L12" s="13"/>
      <c r="M12" s="13"/>
      <c r="N12" s="14" t="s">
        <v>22</v>
      </c>
      <c r="O12" s="14"/>
      <c r="P12" s="14"/>
      <c r="Q12" s="14"/>
      <c r="R12" s="14"/>
      <c r="S12" s="14"/>
      <c r="T12" s="15" t="s">
        <v>23</v>
      </c>
      <c r="U12" s="15"/>
      <c r="V12" s="15"/>
      <c r="W12" s="15"/>
      <c r="X12" s="15"/>
      <c r="Y12" s="15"/>
      <c r="Z12" s="8" t="s">
        <v>24</v>
      </c>
      <c r="AA12" s="8"/>
      <c r="AB12" s="8"/>
      <c r="AC12" s="9"/>
      <c r="AD12" s="9"/>
      <c r="AE12" s="9"/>
    </row>
    <row r="13" customFormat="false" ht="19.5" hidden="false" customHeight="true" outlineLevel="0" collapsed="false">
      <c r="A13" s="6"/>
      <c r="B13" s="6"/>
      <c r="C13" s="6"/>
      <c r="D13" s="12" t="s">
        <v>25</v>
      </c>
      <c r="E13" s="12"/>
      <c r="F13" s="12"/>
      <c r="G13" s="12" t="s">
        <v>26</v>
      </c>
      <c r="H13" s="12"/>
      <c r="I13" s="12"/>
      <c r="J13" s="13" t="s">
        <v>27</v>
      </c>
      <c r="K13" s="13"/>
      <c r="L13" s="13" t="s">
        <v>28</v>
      </c>
      <c r="M13" s="13"/>
      <c r="N13" s="14" t="s">
        <v>25</v>
      </c>
      <c r="O13" s="14"/>
      <c r="P13" s="14"/>
      <c r="Q13" s="14" t="s">
        <v>26</v>
      </c>
      <c r="R13" s="14"/>
      <c r="S13" s="14"/>
      <c r="T13" s="15" t="s">
        <v>27</v>
      </c>
      <c r="U13" s="15"/>
      <c r="V13" s="15"/>
      <c r="W13" s="15" t="s">
        <v>28</v>
      </c>
      <c r="X13" s="15"/>
      <c r="Y13" s="15"/>
      <c r="Z13" s="16" t="s">
        <v>29</v>
      </c>
      <c r="AA13" s="16" t="s">
        <v>30</v>
      </c>
      <c r="AB13" s="16" t="s">
        <v>31</v>
      </c>
      <c r="AC13" s="9"/>
      <c r="AD13" s="9"/>
      <c r="AE13" s="9"/>
    </row>
    <row r="14" customFormat="false" ht="19.5" hidden="false" customHeight="true" outlineLevel="0" collapsed="false">
      <c r="A14" s="6"/>
      <c r="B14" s="6"/>
      <c r="C14" s="6"/>
      <c r="D14" s="17" t="s">
        <v>32</v>
      </c>
      <c r="E14" s="17" t="s">
        <v>33</v>
      </c>
      <c r="F14" s="17" t="s">
        <v>34</v>
      </c>
      <c r="G14" s="17" t="s">
        <v>32</v>
      </c>
      <c r="H14" s="17" t="s">
        <v>33</v>
      </c>
      <c r="I14" s="17" t="s">
        <v>34</v>
      </c>
      <c r="J14" s="18" t="s">
        <v>32</v>
      </c>
      <c r="K14" s="18" t="s">
        <v>33</v>
      </c>
      <c r="L14" s="18" t="s">
        <v>32</v>
      </c>
      <c r="M14" s="18" t="s">
        <v>33</v>
      </c>
      <c r="N14" s="19" t="s">
        <v>32</v>
      </c>
      <c r="O14" s="19" t="s">
        <v>33</v>
      </c>
      <c r="P14" s="19" t="s">
        <v>34</v>
      </c>
      <c r="Q14" s="19" t="s">
        <v>32</v>
      </c>
      <c r="R14" s="19" t="s">
        <v>33</v>
      </c>
      <c r="S14" s="19" t="s">
        <v>34</v>
      </c>
      <c r="T14" s="20" t="s">
        <v>32</v>
      </c>
      <c r="U14" s="20" t="s">
        <v>33</v>
      </c>
      <c r="V14" s="20" t="s">
        <v>34</v>
      </c>
      <c r="W14" s="20" t="s">
        <v>32</v>
      </c>
      <c r="X14" s="20" t="s">
        <v>33</v>
      </c>
      <c r="Y14" s="20" t="s">
        <v>34</v>
      </c>
      <c r="Z14" s="16"/>
      <c r="AA14" s="16"/>
      <c r="AB14" s="16"/>
      <c r="AC14" s="16"/>
      <c r="AD14" s="16"/>
      <c r="AE14" s="16"/>
    </row>
    <row r="15" customFormat="false" ht="19.5" hidden="false" customHeight="true" outlineLevel="0" collapsed="false">
      <c r="A15" s="6"/>
      <c r="B15" s="6"/>
      <c r="C15" s="6"/>
      <c r="D15" s="17" t="n">
        <v>5</v>
      </c>
      <c r="E15" s="17" t="n">
        <v>5</v>
      </c>
      <c r="F15" s="17" t="n">
        <v>5</v>
      </c>
      <c r="G15" s="17" t="n">
        <v>5</v>
      </c>
      <c r="H15" s="17" t="n">
        <v>5</v>
      </c>
      <c r="I15" s="17" t="n">
        <v>5</v>
      </c>
      <c r="J15" s="18" t="n">
        <v>7</v>
      </c>
      <c r="K15" s="18" t="n">
        <v>8</v>
      </c>
      <c r="L15" s="18" t="n">
        <v>7</v>
      </c>
      <c r="M15" s="18" t="n">
        <v>8</v>
      </c>
      <c r="N15" s="19" t="n">
        <v>5</v>
      </c>
      <c r="O15" s="19" t="n">
        <v>5</v>
      </c>
      <c r="P15" s="19" t="n">
        <v>5</v>
      </c>
      <c r="Q15" s="19" t="n">
        <v>5</v>
      </c>
      <c r="R15" s="19" t="n">
        <v>5</v>
      </c>
      <c r="S15" s="19" t="n">
        <v>5</v>
      </c>
      <c r="T15" s="20" t="n">
        <v>5</v>
      </c>
      <c r="U15" s="20" t="n">
        <v>5</v>
      </c>
      <c r="V15" s="20" t="n">
        <v>5</v>
      </c>
      <c r="W15" s="20" t="n">
        <v>5</v>
      </c>
      <c r="X15" s="20" t="n">
        <v>5</v>
      </c>
      <c r="Y15" s="20" t="n">
        <v>5</v>
      </c>
      <c r="Z15" s="16"/>
      <c r="AA15" s="16"/>
      <c r="AB15" s="16"/>
      <c r="AC15" s="16"/>
      <c r="AD15" s="16"/>
      <c r="AE15" s="16"/>
    </row>
    <row r="17" customFormat="false" ht="15.75" hidden="false" customHeight="true" outlineLevel="0" collapsed="false">
      <c r="A17" s="21" t="n">
        <v>1</v>
      </c>
      <c r="B17" s="22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customFormat="false" ht="15.75" hidden="false" customHeight="true" outlineLevel="0" collapsed="false">
      <c r="A18" s="24" t="n">
        <v>2</v>
      </c>
      <c r="B18" s="22"/>
      <c r="C18" s="22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</row>
    <row r="19" customFormat="false" ht="15.75" hidden="false" customHeight="true" outlineLevel="0" collapsed="false">
      <c r="A19" s="21" t="n">
        <v>3</v>
      </c>
      <c r="B19" s="22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customFormat="false" ht="15.75" hidden="false" customHeight="true" outlineLevel="0" collapsed="false">
      <c r="A20" s="24" t="n">
        <v>4</v>
      </c>
      <c r="B20" s="22"/>
      <c r="C20" s="22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</row>
    <row r="21" customFormat="false" ht="15.75" hidden="false" customHeight="true" outlineLevel="0" collapsed="false">
      <c r="A21" s="21" t="n">
        <v>5</v>
      </c>
      <c r="B21" s="22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customFormat="false" ht="15.75" hidden="false" customHeight="true" outlineLevel="0" collapsed="false">
      <c r="A22" s="24" t="n">
        <v>6</v>
      </c>
      <c r="B22" s="22"/>
      <c r="C22" s="22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customFormat="false" ht="15.75" hidden="false" customHeight="true" outlineLevel="0" collapsed="false">
      <c r="A23" s="21" t="n">
        <v>7</v>
      </c>
      <c r="B23" s="22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customFormat="false" ht="15.75" hidden="false" customHeight="true" outlineLevel="0" collapsed="false">
      <c r="A24" s="24" t="n">
        <v>8</v>
      </c>
      <c r="B24" s="22"/>
      <c r="C24" s="22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</row>
    <row r="25" customFormat="false" ht="15.75" hidden="false" customHeight="true" outlineLevel="0" collapsed="false">
      <c r="A25" s="21" t="n">
        <v>9</v>
      </c>
      <c r="B25" s="22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customFormat="false" ht="15.75" hidden="false" customHeight="true" outlineLevel="0" collapsed="false">
      <c r="A26" s="24" t="n">
        <v>10</v>
      </c>
      <c r="B26" s="22"/>
      <c r="C26" s="22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</row>
    <row r="27" customFormat="false" ht="15.75" hidden="false" customHeight="true" outlineLevel="0" collapsed="false">
      <c r="A27" s="21" t="n">
        <v>11</v>
      </c>
      <c r="B27" s="22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 customFormat="false" ht="15.75" hidden="false" customHeight="true" outlineLevel="0" collapsed="false">
      <c r="A28" s="24" t="n">
        <v>12</v>
      </c>
      <c r="B28" s="22"/>
      <c r="C28" s="22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</row>
    <row r="29" customFormat="false" ht="15.75" hidden="false" customHeight="true" outlineLevel="0" collapsed="false">
      <c r="A29" s="21" t="n">
        <v>13</v>
      </c>
      <c r="B29" s="22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 customFormat="false" ht="15.75" hidden="false" customHeight="true" outlineLevel="0" collapsed="false">
      <c r="A30" s="24" t="n">
        <v>14</v>
      </c>
      <c r="B30" s="22"/>
      <c r="C30" s="22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</row>
    <row r="31" customFormat="false" ht="15.75" hidden="false" customHeight="true" outlineLevel="0" collapsed="false">
      <c r="A31" s="21" t="n">
        <v>15</v>
      </c>
      <c r="B31" s="22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customFormat="false" ht="15.75" hidden="false" customHeight="true" outlineLevel="0" collapsed="false">
      <c r="A32" s="24" t="n">
        <v>16</v>
      </c>
      <c r="B32" s="22"/>
      <c r="C32" s="22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</row>
    <row r="33" customFormat="false" ht="15.75" hidden="false" customHeight="true" outlineLevel="0" collapsed="false">
      <c r="A33" s="21" t="n">
        <v>17</v>
      </c>
      <c r="B33" s="22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customFormat="false" ht="15.75" hidden="false" customHeight="true" outlineLevel="0" collapsed="false">
      <c r="A34" s="24" t="n">
        <v>18</v>
      </c>
      <c r="B34" s="22"/>
      <c r="C34" s="22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</row>
    <row r="35" customFormat="false" ht="15.75" hidden="false" customHeight="true" outlineLevel="0" collapsed="false">
      <c r="A35" s="21" t="n">
        <v>19</v>
      </c>
      <c r="B35" s="22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 customFormat="false" ht="15.75" hidden="false" customHeight="true" outlineLevel="0" collapsed="false">
      <c r="A36" s="24" t="n">
        <v>20</v>
      </c>
      <c r="B36" s="22"/>
      <c r="C36" s="22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</row>
    <row r="37" customFormat="false" ht="15.75" hidden="false" customHeight="true" outlineLevel="0" collapsed="false">
      <c r="A37" s="21" t="n">
        <v>21</v>
      </c>
      <c r="B37" s="22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 customFormat="false" ht="15.75" hidden="false" customHeight="true" outlineLevel="0" collapsed="false">
      <c r="A38" s="24" t="n">
        <v>22</v>
      </c>
      <c r="B38" s="22"/>
      <c r="C38" s="22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</row>
    <row r="39" customFormat="false" ht="15.75" hidden="false" customHeight="true" outlineLevel="0" collapsed="false">
      <c r="A39" s="21" t="n">
        <v>23</v>
      </c>
      <c r="B39" s="22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 customFormat="false" ht="15.75" hidden="false" customHeight="true" outlineLevel="0" collapsed="false">
      <c r="A40" s="24" t="n">
        <v>24</v>
      </c>
      <c r="B40" s="22"/>
      <c r="C40" s="22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</row>
    <row r="41" customFormat="false" ht="15.75" hidden="false" customHeight="true" outlineLevel="0" collapsed="false">
      <c r="A41" s="21" t="n">
        <v>25</v>
      </c>
      <c r="B41" s="22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  <row r="42" customFormat="false" ht="15.75" hidden="false" customHeight="true" outlineLevel="0" collapsed="false">
      <c r="A42" s="24" t="n">
        <v>26</v>
      </c>
      <c r="B42" s="22"/>
      <c r="C42" s="22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</row>
    <row r="43" customFormat="false" ht="15.75" hidden="false" customHeight="true" outlineLevel="0" collapsed="false">
      <c r="A43" s="21" t="n">
        <v>27</v>
      </c>
      <c r="B43" s="22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</row>
    <row r="44" customFormat="false" ht="15.75" hidden="false" customHeight="true" outlineLevel="0" collapsed="false">
      <c r="A44" s="24" t="n">
        <v>28</v>
      </c>
      <c r="B44" s="22"/>
      <c r="C44" s="22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</row>
    <row r="45" customFormat="false" ht="15.75" hidden="false" customHeight="true" outlineLevel="0" collapsed="false">
      <c r="A45" s="21" t="n">
        <v>29</v>
      </c>
      <c r="B45" s="22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 customFormat="false" ht="15.75" hidden="false" customHeight="true" outlineLevel="0" collapsed="false">
      <c r="A46" s="24" t="n">
        <v>30</v>
      </c>
      <c r="B46" s="22"/>
      <c r="C46" s="22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</row>
    <row r="47" customFormat="false" ht="15.75" hidden="false" customHeight="true" outlineLevel="0" collapsed="false">
      <c r="A47" s="21" t="n">
        <v>31</v>
      </c>
      <c r="B47" s="22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 customFormat="false" ht="15.75" hidden="false" customHeight="true" outlineLevel="0" collapsed="false">
      <c r="A48" s="24" t="n">
        <v>32</v>
      </c>
      <c r="B48" s="22"/>
      <c r="C48" s="22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</row>
    <row r="49" customFormat="false" ht="15.75" hidden="false" customHeight="true" outlineLevel="0" collapsed="false">
      <c r="A49" s="21" t="n">
        <v>33</v>
      </c>
      <c r="B49" s="22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 customFormat="false" ht="15.75" hidden="false" customHeight="true" outlineLevel="0" collapsed="false">
      <c r="A50" s="24" t="n">
        <v>34</v>
      </c>
      <c r="B50" s="22"/>
      <c r="C50" s="22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</row>
    <row r="51" customFormat="false" ht="15.75" hidden="false" customHeight="true" outlineLevel="0" collapsed="false">
      <c r="A51" s="21" t="n">
        <v>35</v>
      </c>
      <c r="B51" s="22"/>
      <c r="C51" s="22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 customFormat="false" ht="15.75" hidden="false" customHeight="true" outlineLevel="0" collapsed="false">
      <c r="A52" s="24" t="n">
        <v>36</v>
      </c>
      <c r="B52" s="22"/>
      <c r="C52" s="22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</row>
    <row r="53" customFormat="false" ht="15.75" hidden="false" customHeight="true" outlineLevel="0" collapsed="false">
      <c r="A53" s="21" t="n">
        <v>37</v>
      </c>
      <c r="B53" s="22"/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 customFormat="false" ht="15.75" hidden="false" customHeight="true" outlineLevel="0" collapsed="false">
      <c r="A54" s="24" t="n">
        <v>38</v>
      </c>
      <c r="B54" s="22"/>
      <c r="C54" s="22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</row>
    <row r="55" customFormat="false" ht="15.75" hidden="false" customHeight="true" outlineLevel="0" collapsed="false">
      <c r="A55" s="21" t="n">
        <v>39</v>
      </c>
      <c r="B55" s="22"/>
      <c r="C55" s="22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 customFormat="false" ht="15.75" hidden="false" customHeight="true" outlineLevel="0" collapsed="false">
      <c r="A56" s="24" t="n">
        <v>40</v>
      </c>
      <c r="B56" s="22"/>
      <c r="C56" s="22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</row>
    <row r="57" customFormat="false" ht="15.75" hidden="false" customHeight="true" outlineLevel="0" collapsed="false">
      <c r="A57" s="21" t="n">
        <v>41</v>
      </c>
      <c r="B57" s="22"/>
      <c r="C57" s="22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</row>
    <row r="58" customFormat="false" ht="15.75" hidden="false" customHeight="true" outlineLevel="0" collapsed="false">
      <c r="A58" s="24" t="n">
        <v>42</v>
      </c>
      <c r="B58" s="22"/>
      <c r="C58" s="22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</row>
    <row r="59" customFormat="false" ht="15.75" hidden="false" customHeight="true" outlineLevel="0" collapsed="false">
      <c r="A59" s="21" t="n">
        <v>43</v>
      </c>
      <c r="B59" s="22"/>
      <c r="C59" s="22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</row>
    <row r="60" customFormat="false" ht="15.75" hidden="false" customHeight="true" outlineLevel="0" collapsed="false">
      <c r="A60" s="24" t="n">
        <v>44</v>
      </c>
      <c r="B60" s="22"/>
      <c r="C60" s="22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</row>
    <row r="61" customFormat="false" ht="15.75" hidden="false" customHeight="true" outlineLevel="0" collapsed="false">
      <c r="A61" s="21" t="n">
        <v>45</v>
      </c>
      <c r="B61" s="22"/>
      <c r="C61" s="22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</row>
    <row r="62" customFormat="false" ht="15.75" hidden="false" customHeight="true" outlineLevel="0" collapsed="false">
      <c r="A62" s="24" t="n">
        <v>46</v>
      </c>
      <c r="B62" s="22"/>
      <c r="C62" s="22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</row>
    <row r="63" customFormat="false" ht="15.75" hidden="false" customHeight="true" outlineLevel="0" collapsed="false">
      <c r="A63" s="21" t="n">
        <v>47</v>
      </c>
      <c r="B63" s="22"/>
      <c r="C63" s="22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</row>
    <row r="64" customFormat="false" ht="15.75" hidden="false" customHeight="true" outlineLevel="0" collapsed="false">
      <c r="A64" s="24" t="n">
        <v>48</v>
      </c>
      <c r="B64" s="22"/>
      <c r="C64" s="22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</row>
    <row r="65" customFormat="false" ht="15.75" hidden="false" customHeight="true" outlineLevel="0" collapsed="false">
      <c r="A65" s="21" t="n">
        <v>49</v>
      </c>
      <c r="B65" s="22"/>
      <c r="C65" s="22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</row>
    <row r="66" customFormat="false" ht="15.75" hidden="false" customHeight="true" outlineLevel="0" collapsed="false">
      <c r="A66" s="24" t="n">
        <v>50</v>
      </c>
      <c r="B66" s="22"/>
      <c r="C66" s="22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</row>
    <row r="67" customFormat="false" ht="15.75" hidden="false" customHeight="true" outlineLevel="0" collapsed="false">
      <c r="A67" s="21" t="n">
        <v>51</v>
      </c>
      <c r="B67" s="22"/>
      <c r="C67" s="22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</row>
    <row r="68" customFormat="false" ht="15.75" hidden="false" customHeight="true" outlineLevel="0" collapsed="false">
      <c r="A68" s="24" t="n">
        <v>52</v>
      </c>
      <c r="B68" s="22"/>
      <c r="C68" s="22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</row>
    <row r="69" customFormat="false" ht="15.75" hidden="false" customHeight="true" outlineLevel="0" collapsed="false">
      <c r="A69" s="21" t="n">
        <v>53</v>
      </c>
      <c r="B69" s="22"/>
      <c r="C69" s="22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 customFormat="false" ht="15.75" hidden="false" customHeight="true" outlineLevel="0" collapsed="false">
      <c r="A70" s="24" t="n">
        <v>54</v>
      </c>
      <c r="B70" s="22"/>
      <c r="C70" s="22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</row>
    <row r="71" customFormat="false" ht="15.75" hidden="false" customHeight="true" outlineLevel="0" collapsed="false">
      <c r="A71" s="21" t="n">
        <v>55</v>
      </c>
      <c r="B71" s="22"/>
      <c r="C71" s="22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 customFormat="false" ht="15.75" hidden="false" customHeight="true" outlineLevel="0" collapsed="false">
      <c r="A72" s="24" t="n">
        <v>56</v>
      </c>
      <c r="B72" s="22"/>
      <c r="C72" s="22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</row>
    <row r="73" customFormat="false" ht="15.75" hidden="false" customHeight="true" outlineLevel="0" collapsed="false">
      <c r="A73" s="21" t="n">
        <v>57</v>
      </c>
      <c r="B73" s="22"/>
      <c r="C73" s="22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 customFormat="false" ht="15.75" hidden="false" customHeight="true" outlineLevel="0" collapsed="false">
      <c r="A74" s="24" t="n">
        <v>58</v>
      </c>
      <c r="B74" s="22"/>
      <c r="C74" s="22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</row>
    <row r="75" customFormat="false" ht="15.75" hidden="false" customHeight="true" outlineLevel="0" collapsed="false">
      <c r="A75" s="21" t="n">
        <v>59</v>
      </c>
      <c r="B75" s="22"/>
      <c r="C75" s="22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 customFormat="false" ht="15.75" hidden="false" customHeight="true" outlineLevel="0" collapsed="false">
      <c r="A76" s="24" t="n">
        <v>60</v>
      </c>
      <c r="B76" s="22"/>
      <c r="C76" s="22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</row>
    <row r="77" customFormat="false" ht="15.75" hidden="false" customHeight="true" outlineLevel="0" collapsed="false">
      <c r="A77" s="21" t="n">
        <v>61</v>
      </c>
      <c r="B77" s="22"/>
      <c r="C77" s="22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 customFormat="false" ht="15.75" hidden="false" customHeight="true" outlineLevel="0" collapsed="false">
      <c r="A78" s="24" t="n">
        <v>62</v>
      </c>
      <c r="B78" s="22"/>
      <c r="C78" s="22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</row>
    <row r="79" customFormat="false" ht="15.75" hidden="false" customHeight="true" outlineLevel="0" collapsed="false">
      <c r="A79" s="21" t="n">
        <v>63</v>
      </c>
      <c r="B79" s="22"/>
      <c r="C79" s="22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 customFormat="false" ht="15.75" hidden="false" customHeight="true" outlineLevel="0" collapsed="false">
      <c r="A80" s="24" t="n">
        <v>64</v>
      </c>
      <c r="B80" s="22"/>
      <c r="C80" s="22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</row>
    <row r="81" customFormat="false" ht="15.75" hidden="false" customHeight="true" outlineLevel="0" collapsed="false">
      <c r="A81" s="21" t="n">
        <v>65</v>
      </c>
      <c r="B81" s="22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 customFormat="false" ht="15.75" hidden="false" customHeight="true" outlineLevel="0" collapsed="false">
      <c r="A82" s="24" t="n">
        <v>66</v>
      </c>
      <c r="B82" s="22"/>
      <c r="C82" s="22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</row>
    <row r="83" customFormat="false" ht="15.75" hidden="false" customHeight="true" outlineLevel="0" collapsed="false">
      <c r="A83" s="21" t="n">
        <v>67</v>
      </c>
      <c r="B83" s="22"/>
      <c r="C83" s="22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customFormat="false" ht="15.75" hidden="false" customHeight="true" outlineLevel="0" collapsed="false">
      <c r="A84" s="24" t="n">
        <v>68</v>
      </c>
      <c r="B84" s="22"/>
      <c r="C84" s="22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</row>
    <row r="85" customFormat="false" ht="15.75" hidden="false" customHeight="true" outlineLevel="0" collapsed="false">
      <c r="A85" s="21" t="n">
        <v>69</v>
      </c>
      <c r="B85" s="22"/>
      <c r="C85" s="22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 customFormat="false" ht="15.75" hidden="false" customHeight="true" outlineLevel="0" collapsed="false">
      <c r="A86" s="24" t="n">
        <v>70</v>
      </c>
      <c r="B86" s="22"/>
      <c r="C86" s="22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</row>
    <row r="87" customFormat="false" ht="15.75" hidden="false" customHeight="true" outlineLevel="0" collapsed="false">
      <c r="A87" s="21" t="n">
        <v>71</v>
      </c>
      <c r="B87" s="22"/>
      <c r="C87" s="22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 customFormat="false" ht="15.75" hidden="false" customHeight="true" outlineLevel="0" collapsed="false">
      <c r="A88" s="24" t="n">
        <v>72</v>
      </c>
      <c r="B88" s="22"/>
      <c r="C88" s="22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</row>
    <row r="89" customFormat="false" ht="15.75" hidden="false" customHeight="true" outlineLevel="0" collapsed="false">
      <c r="A89" s="21" t="n">
        <v>73</v>
      </c>
      <c r="B89" s="22"/>
      <c r="C89" s="22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customFormat="false" ht="15.75" hidden="false" customHeight="true" outlineLevel="0" collapsed="false">
      <c r="A90" s="24" t="n">
        <v>74</v>
      </c>
      <c r="B90" s="22"/>
      <c r="C90" s="22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</row>
    <row r="91" customFormat="false" ht="15.75" hidden="false" customHeight="true" outlineLevel="0" collapsed="false">
      <c r="A91" s="21" t="n">
        <v>75</v>
      </c>
      <c r="B91" s="22"/>
      <c r="C91" s="22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 customFormat="false" ht="18" hidden="false" customHeight="true" outlineLevel="0" collapsed="false">
      <c r="A92" s="26" t="s">
        <v>35</v>
      </c>
      <c r="B92" s="26"/>
      <c r="C92" s="26"/>
      <c r="D92" s="27" t="str">
        <f aca="false">IFERROR(AVERAGE(D17:D91),"")</f>
        <v/>
      </c>
      <c r="E92" s="27" t="str">
        <f aca="false">IFERROR(AVERAGE(E17:E91),"")</f>
        <v/>
      </c>
      <c r="F92" s="27" t="str">
        <f aca="false">IFERROR(AVERAGE(F17:F91),"")</f>
        <v/>
      </c>
      <c r="G92" s="27" t="str">
        <f aca="false">IFERROR(AVERAGE(G17:G91),"")</f>
        <v/>
      </c>
      <c r="H92" s="27" t="str">
        <f aca="false">IFERROR(AVERAGE(H17:H91),"")</f>
        <v/>
      </c>
      <c r="I92" s="27" t="str">
        <f aca="false">IFERROR(AVERAGE(I17:I91),"")</f>
        <v/>
      </c>
      <c r="J92" s="27" t="str">
        <f aca="false">IFERROR(AVERAGE(J17:J91),"")</f>
        <v/>
      </c>
      <c r="K92" s="27" t="str">
        <f aca="false">IFERROR(AVERAGE(K17:K91),"")</f>
        <v/>
      </c>
      <c r="L92" s="27" t="str">
        <f aca="false">IFERROR(AVERAGE(L17:L91),"")</f>
        <v/>
      </c>
      <c r="M92" s="27" t="str">
        <f aca="false">IFERROR(AVERAGE(M17:M91),"")</f>
        <v/>
      </c>
      <c r="N92" s="27" t="str">
        <f aca="false">IFERROR(AVERAGE(N17:N91),"")</f>
        <v/>
      </c>
      <c r="O92" s="27" t="str">
        <f aca="false">IFERROR(AVERAGE(O17:O91),"")</f>
        <v/>
      </c>
      <c r="P92" s="27" t="str">
        <f aca="false">IFERROR(AVERAGE(P17:P91),"")</f>
        <v/>
      </c>
      <c r="Q92" s="27" t="str">
        <f aca="false">IFERROR(AVERAGE(Q17:Q91),"")</f>
        <v/>
      </c>
      <c r="R92" s="27" t="str">
        <f aca="false">IFERROR(AVERAGE(R17:R91),"")</f>
        <v/>
      </c>
      <c r="S92" s="27" t="str">
        <f aca="false">IFERROR(AVERAGE(S17:S91),"")</f>
        <v/>
      </c>
      <c r="T92" s="27" t="str">
        <f aca="false">IFERROR(AVERAGE(T17:T91),"")</f>
        <v/>
      </c>
      <c r="U92" s="27" t="str">
        <f aca="false">IFERROR(AVERAGE(U17:U91),"")</f>
        <v/>
      </c>
      <c r="V92" s="27" t="str">
        <f aca="false">IFERROR(AVERAGE(V17:V91),"")</f>
        <v/>
      </c>
      <c r="W92" s="27" t="str">
        <f aca="false">IFERROR(AVERAGE(W17:W91),"")</f>
        <v/>
      </c>
      <c r="X92" s="27" t="str">
        <f aca="false">IFERROR(AVERAGE(X17:X91),"")</f>
        <v/>
      </c>
      <c r="Y92" s="27" t="str">
        <f aca="false">IFERROR(AVERAGE(Y17:Y91),"")</f>
        <v/>
      </c>
      <c r="Z92" s="27" t="str">
        <f aca="false">IFERROR(AVERAGE(Z17:Z91),"")</f>
        <v/>
      </c>
      <c r="AA92" s="27" t="str">
        <f aca="false">IFERROR(AVERAGE(AA17:AA91),"")</f>
        <v/>
      </c>
      <c r="AB92" s="27" t="str">
        <f aca="false">IFERROR(AVERAGE(AB17:AB91),"")</f>
        <v/>
      </c>
      <c r="AC92" s="27" t="str">
        <f aca="false">IFERROR(AVERAGE(AC17:AC91),"")</f>
        <v/>
      </c>
      <c r="AD92" s="27" t="str">
        <f aca="false">IFERROR(AVERAGE(AD17:AD91),"")</f>
        <v/>
      </c>
      <c r="AE92" s="27" t="str">
        <f aca="false">IFERROR(AVERAGE(AE17:AE91),"")</f>
        <v/>
      </c>
    </row>
    <row r="94" customFormat="false" ht="15" hidden="false" customHeight="false" outlineLevel="0" collapsed="false">
      <c r="A94" s="28" t="s">
        <v>36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</row>
    <row r="95" customFormat="false" ht="15" hidden="false" customHeight="true" outlineLevel="0" collapsed="false">
      <c r="A95" s="29" t="s">
        <v>37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customFormat="false" ht="15" hidden="false" customHeight="true" outlineLevel="0" collapsed="false">
      <c r="A96" s="29" t="s">
        <v>38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</row>
    <row r="97" customFormat="false" ht="15" hidden="false" customHeight="true" outlineLevel="0" collapsed="false">
      <c r="A97" s="29" t="s">
        <v>39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</row>
    <row r="98" customFormat="false" ht="15" hidden="false" customHeight="true" outlineLevel="0" collapsed="false">
      <c r="A98" s="29" t="s">
        <v>40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</row>
  </sheetData>
  <mergeCells count="47">
    <mergeCell ref="A1:AE1"/>
    <mergeCell ref="A2:AE2"/>
    <mergeCell ref="A3:AE3"/>
    <mergeCell ref="A4:AE4"/>
    <mergeCell ref="A5:AE5"/>
    <mergeCell ref="A6:AE6"/>
    <mergeCell ref="A7:C7"/>
    <mergeCell ref="D7:K7"/>
    <mergeCell ref="L7:AE7"/>
    <mergeCell ref="A8:C8"/>
    <mergeCell ref="D8:K8"/>
    <mergeCell ref="L8:AE8"/>
    <mergeCell ref="A9:C9"/>
    <mergeCell ref="D9:K9"/>
    <mergeCell ref="L9:AE9"/>
    <mergeCell ref="A10:AE10"/>
    <mergeCell ref="A11:A15"/>
    <mergeCell ref="B11:B15"/>
    <mergeCell ref="C11:C15"/>
    <mergeCell ref="D11:M11"/>
    <mergeCell ref="N11:Y11"/>
    <mergeCell ref="Z11:AB11"/>
    <mergeCell ref="AC11:AC15"/>
    <mergeCell ref="AD11:AD15"/>
    <mergeCell ref="AE11:AE15"/>
    <mergeCell ref="D12:I12"/>
    <mergeCell ref="J12:M12"/>
    <mergeCell ref="N12:S12"/>
    <mergeCell ref="T12:Y12"/>
    <mergeCell ref="Z12:AB12"/>
    <mergeCell ref="D13:F13"/>
    <mergeCell ref="G13:I13"/>
    <mergeCell ref="J13:K13"/>
    <mergeCell ref="L13:M13"/>
    <mergeCell ref="N13:P13"/>
    <mergeCell ref="Q13:S13"/>
    <mergeCell ref="T13:V13"/>
    <mergeCell ref="W13:Y13"/>
    <mergeCell ref="Z13:Z15"/>
    <mergeCell ref="AA13:AA15"/>
    <mergeCell ref="AB13:AB15"/>
    <mergeCell ref="A92:C92"/>
    <mergeCell ref="A94:AE94"/>
    <mergeCell ref="A95:AE95"/>
    <mergeCell ref="A96:AE96"/>
    <mergeCell ref="A97:AE97"/>
    <mergeCell ref="A98:AE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8" min="4" style="0" width="10"/>
    <col collapsed="false" customWidth="true" hidden="false" outlineLevel="0" max="10" min="9" style="0" width="8"/>
    <col collapsed="false" customWidth="true" hidden="false" outlineLevel="0" max="14" min="11" style="0" width="10"/>
    <col collapsed="false" customWidth="true" hidden="false" outlineLevel="0" max="16" min="15" style="0" width="8"/>
    <col collapsed="false" customWidth="true" hidden="false" outlineLevel="0" max="18" min="17" style="0" width="10"/>
    <col collapsed="false" customWidth="true" hidden="false" outlineLevel="0" max="19" min="19" style="0" width="12"/>
    <col collapsed="false" customWidth="true" hidden="false" outlineLevel="0" max="33" min="20" style="0" width="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customFormat="false" ht="21.75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customFormat="false" ht="15" hidden="false" customHeight="false" outlineLevel="0" collapsed="false">
      <c r="A7" s="5" t="s">
        <v>3</v>
      </c>
      <c r="B7" s="5"/>
      <c r="C7" s="5"/>
      <c r="D7" s="5" t="s">
        <v>4</v>
      </c>
      <c r="E7" s="5"/>
      <c r="F7" s="5"/>
      <c r="G7" s="5"/>
      <c r="H7" s="5"/>
      <c r="I7" s="5"/>
      <c r="J7" s="5"/>
      <c r="K7" s="5"/>
      <c r="L7" s="5" t="s">
        <v>41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customFormat="false" ht="15" hidden="false" customHeight="false" outlineLevel="0" collapsed="false">
      <c r="A8" s="5" t="s">
        <v>6</v>
      </c>
      <c r="B8" s="5"/>
      <c r="C8" s="5"/>
      <c r="D8" s="5" t="s">
        <v>7</v>
      </c>
      <c r="E8" s="5"/>
      <c r="F8" s="5"/>
      <c r="G8" s="5"/>
      <c r="H8" s="5"/>
      <c r="I8" s="5"/>
      <c r="J8" s="5"/>
      <c r="K8" s="5"/>
      <c r="L8" s="5" t="s">
        <v>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customFormat="false" ht="15" hidden="false" customHeight="false" outlineLevel="0" collapsed="false">
      <c r="A9" s="5" t="s">
        <v>9</v>
      </c>
      <c r="B9" s="5"/>
      <c r="C9" s="5"/>
      <c r="D9" s="5" t="s">
        <v>10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customFormat="false" ht="22.35" hidden="false" customHeight="true" outlineLevel="0" collapsed="false">
      <c r="A11" s="6" t="s">
        <v>11</v>
      </c>
      <c r="B11" s="6" t="s">
        <v>12</v>
      </c>
      <c r="C11" s="6" t="s">
        <v>13</v>
      </c>
      <c r="D11" s="7" t="s">
        <v>42</v>
      </c>
      <c r="E11" s="7"/>
      <c r="F11" s="7"/>
      <c r="G11" s="7"/>
      <c r="H11" s="7" t="s">
        <v>43</v>
      </c>
      <c r="I11" s="7"/>
      <c r="J11" s="7"/>
      <c r="K11" s="7"/>
      <c r="L11" s="8" t="s">
        <v>44</v>
      </c>
      <c r="M11" s="8"/>
      <c r="N11" s="8"/>
      <c r="O11" s="9" t="s">
        <v>45</v>
      </c>
      <c r="P11" s="10" t="s">
        <v>46</v>
      </c>
      <c r="Q11" s="11" t="s">
        <v>47</v>
      </c>
      <c r="R11" s="8" t="s">
        <v>48</v>
      </c>
      <c r="S11" s="8"/>
      <c r="T11" s="8"/>
      <c r="U11" s="8"/>
      <c r="V11" s="30" t="s">
        <v>49</v>
      </c>
      <c r="W11" s="30"/>
      <c r="X11" s="30"/>
      <c r="Y11" s="30"/>
      <c r="Z11" s="6" t="s">
        <v>50</v>
      </c>
      <c r="AA11" s="6" t="s">
        <v>51</v>
      </c>
    </row>
    <row r="12" customFormat="false" ht="22.35" hidden="false" customHeight="true" outlineLevel="0" collapsed="false">
      <c r="A12" s="6"/>
      <c r="B12" s="6"/>
      <c r="C12" s="6"/>
      <c r="D12" s="17" t="s">
        <v>52</v>
      </c>
      <c r="E12" s="18" t="s">
        <v>53</v>
      </c>
      <c r="F12" s="6" t="s">
        <v>54</v>
      </c>
      <c r="G12" s="6" t="s">
        <v>55</v>
      </c>
      <c r="H12" s="19" t="s">
        <v>56</v>
      </c>
      <c r="I12" s="20" t="s">
        <v>57</v>
      </c>
      <c r="J12" s="6" t="s">
        <v>54</v>
      </c>
      <c r="K12" s="6" t="s">
        <v>55</v>
      </c>
      <c r="L12" s="16" t="s">
        <v>58</v>
      </c>
      <c r="M12" s="16" t="s">
        <v>59</v>
      </c>
      <c r="N12" s="16" t="s">
        <v>60</v>
      </c>
      <c r="O12" s="9"/>
      <c r="P12" s="9"/>
      <c r="Q12" s="9"/>
      <c r="R12" s="31" t="s">
        <v>20</v>
      </c>
      <c r="S12" s="32" t="s">
        <v>21</v>
      </c>
      <c r="T12" s="33" t="s">
        <v>22</v>
      </c>
      <c r="U12" s="34" t="s">
        <v>23</v>
      </c>
      <c r="V12" s="31" t="s">
        <v>20</v>
      </c>
      <c r="W12" s="32" t="s">
        <v>21</v>
      </c>
      <c r="X12" s="33" t="s">
        <v>22</v>
      </c>
      <c r="Y12" s="34" t="s">
        <v>23</v>
      </c>
      <c r="Z12" s="6"/>
      <c r="AA12" s="6"/>
    </row>
    <row r="13" customFormat="false" ht="15" hidden="false" customHeight="false" outlineLevel="0" collapsed="false">
      <c r="A13" s="6"/>
      <c r="B13" s="6"/>
      <c r="C13" s="6"/>
      <c r="D13" s="17" t="s">
        <v>61</v>
      </c>
      <c r="E13" s="18" t="s">
        <v>61</v>
      </c>
      <c r="F13" s="6"/>
      <c r="G13" s="6"/>
      <c r="H13" s="19" t="s">
        <v>61</v>
      </c>
      <c r="I13" s="20" t="s">
        <v>61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customFormat="false" ht="15" hidden="false" customHeight="true" outlineLevel="0" collapsed="false">
      <c r="A14" s="35" t="n">
        <v>1</v>
      </c>
      <c r="B14" s="35" t="n">
        <f aca="false">'Mid &amp; Assgn - A'!B17</f>
        <v>0</v>
      </c>
      <c r="C14" s="35" t="n">
        <f aca="false">'Mid &amp; Assgn - A'!C17</f>
        <v>0</v>
      </c>
      <c r="D14" s="36" t="n">
        <f aca="false">IFERROR(SUM('Mid &amp; Assgn - A'!D17:I17),0)</f>
        <v>0</v>
      </c>
      <c r="E14" s="36" t="n">
        <f aca="false">IFERROR(SUM('Mid &amp; Assgn - A'!J17:M17),0)</f>
        <v>0</v>
      </c>
      <c r="F14" s="36" t="n">
        <f aca="false">D14+E14</f>
        <v>0</v>
      </c>
      <c r="G14" s="36" t="n">
        <f aca="false">IFERROR(ROUND(F14/30*15,2),0)</f>
        <v>0</v>
      </c>
      <c r="H14" s="36" t="n">
        <f aca="false">IFERROR(SUM('Mid &amp; Assgn - A'!N17:S17),0)</f>
        <v>0</v>
      </c>
      <c r="I14" s="36" t="n">
        <f aca="false">IFERROR(SUM('Mid &amp; Assgn - A'!T17:Y17),0)</f>
        <v>0</v>
      </c>
      <c r="J14" s="36" t="n">
        <f aca="false">H14+I14</f>
        <v>0</v>
      </c>
      <c r="K14" s="36" t="n">
        <f aca="false">IFERROR(ROUND(J14/30*15,2),0)</f>
        <v>0</v>
      </c>
      <c r="L14" s="36" t="n">
        <f aca="false">'Mid &amp; Assgn - A'!Z17</f>
        <v>0</v>
      </c>
      <c r="M14" s="36" t="n">
        <f aca="false">'Mid &amp; Assgn - A'!AA17</f>
        <v>0</v>
      </c>
      <c r="N14" s="36" t="n">
        <f aca="false">'Mid &amp; Assgn - A'!AB17</f>
        <v>0</v>
      </c>
      <c r="O14" s="36" t="n">
        <f aca="false">'Mid &amp; Assgn - A'!AC17</f>
        <v>0</v>
      </c>
      <c r="P14" s="36" t="n">
        <f aca="false">'Mid &amp; Assgn - A'!AD17</f>
        <v>0</v>
      </c>
      <c r="Q14" s="36" t="n">
        <f aca="false">'Mid &amp; Assgn - A'!AE17</f>
        <v>0</v>
      </c>
      <c r="R14" s="36" t="n">
        <f aca="false">IF(D14/30&gt;=0.7,3,IF(D14/30&gt;=0.5,2,IF(D14/30&gt;=0.35,1,0)))</f>
        <v>0</v>
      </c>
      <c r="S14" s="36" t="n">
        <f aca="false">IF(E14/30&gt;=0.7,3,IF(E14/30&gt;=0.5,2,IF(E14/30&gt;=0.35,1,0)))</f>
        <v>0</v>
      </c>
      <c r="T14" s="36" t="n">
        <f aca="false">IF(H14/30&gt;=0.7,3,IF(H14/30&gt;=0.5,2,IF(H14/30&gt;=0.35,1,0)))</f>
        <v>0</v>
      </c>
      <c r="U14" s="36" t="n">
        <f aca="false">IF(I14/30&gt;=0.7,3,IF(I14/30&gt;=0.5,2,IF(I14/30&gt;=0.35,1,0)))</f>
        <v>0</v>
      </c>
      <c r="V14" s="36"/>
      <c r="W14" s="36"/>
      <c r="X14" s="36"/>
      <c r="Y14" s="36"/>
      <c r="Z14" s="36" t="n">
        <f aca="false">G14+K14+L14+M14+N14+O14+P14</f>
        <v>0</v>
      </c>
      <c r="AA14" s="36" t="n">
        <f aca="false">IFERROR(AVERAGE(R14:U14),0)</f>
        <v>0</v>
      </c>
    </row>
    <row r="15" customFormat="false" ht="15" hidden="false" customHeight="true" outlineLevel="0" collapsed="false">
      <c r="A15" s="37" t="n">
        <v>2</v>
      </c>
      <c r="B15" s="37" t="n">
        <f aca="false">'Mid &amp; Assgn - A'!B18</f>
        <v>0</v>
      </c>
      <c r="C15" s="37" t="n">
        <f aca="false">'Mid &amp; Assgn - A'!C18</f>
        <v>0</v>
      </c>
      <c r="D15" s="38" t="n">
        <f aca="false">IFERROR(SUM('Mid &amp; Assgn - A'!D18:I18),0)</f>
        <v>0</v>
      </c>
      <c r="E15" s="38" t="n">
        <f aca="false">IFERROR(SUM('Mid &amp; Assgn - A'!J18:M18),0)</f>
        <v>0</v>
      </c>
      <c r="F15" s="38" t="n">
        <f aca="false">D15+E15</f>
        <v>0</v>
      </c>
      <c r="G15" s="38" t="n">
        <f aca="false">IFERROR(ROUND(F15/30*15,2),0)</f>
        <v>0</v>
      </c>
      <c r="H15" s="38" t="n">
        <f aca="false">IFERROR(SUM('Mid &amp; Assgn - A'!N18:S18),0)</f>
        <v>0</v>
      </c>
      <c r="I15" s="38" t="n">
        <f aca="false">IFERROR(SUM('Mid &amp; Assgn - A'!T18:Y18),0)</f>
        <v>0</v>
      </c>
      <c r="J15" s="38" t="n">
        <f aca="false">H15+I15</f>
        <v>0</v>
      </c>
      <c r="K15" s="38" t="n">
        <f aca="false">IFERROR(ROUND(J15/30*15,2),0)</f>
        <v>0</v>
      </c>
      <c r="L15" s="38" t="n">
        <f aca="false">'Mid &amp; Assgn - A'!Z18</f>
        <v>0</v>
      </c>
      <c r="M15" s="38" t="n">
        <f aca="false">'Mid &amp; Assgn - A'!AA18</f>
        <v>0</v>
      </c>
      <c r="N15" s="38" t="n">
        <f aca="false">'Mid &amp; Assgn - A'!AB18</f>
        <v>0</v>
      </c>
      <c r="O15" s="38" t="n">
        <f aca="false">'Mid &amp; Assgn - A'!AC18</f>
        <v>0</v>
      </c>
      <c r="P15" s="38" t="n">
        <f aca="false">'Mid &amp; Assgn - A'!AD18</f>
        <v>0</v>
      </c>
      <c r="Q15" s="38" t="n">
        <f aca="false">'Mid &amp; Assgn - A'!AE18</f>
        <v>0</v>
      </c>
      <c r="R15" s="38" t="n">
        <f aca="false">IF(D15/30&gt;=0.7,3,IF(D15/30&gt;=0.5,2,IF(D15/30&gt;=0.35,1,0)))</f>
        <v>0</v>
      </c>
      <c r="S15" s="38" t="n">
        <f aca="false">IF(E15/30&gt;=0.7,3,IF(E15/30&gt;=0.5,2,IF(E15/30&gt;=0.35,1,0)))</f>
        <v>0</v>
      </c>
      <c r="T15" s="38" t="n">
        <f aca="false">IF(H15/30&gt;=0.7,3,IF(H15/30&gt;=0.5,2,IF(H15/30&gt;=0.35,1,0)))</f>
        <v>0</v>
      </c>
      <c r="U15" s="38" t="n">
        <f aca="false">IF(I15/30&gt;=0.7,3,IF(I15/30&gt;=0.5,2,IF(I15/30&gt;=0.35,1,0)))</f>
        <v>0</v>
      </c>
      <c r="V15" s="38"/>
      <c r="W15" s="38"/>
      <c r="X15" s="38"/>
      <c r="Y15" s="38"/>
      <c r="Z15" s="38" t="n">
        <f aca="false">G15+K15+L15+M15+N15+O15+P15</f>
        <v>0</v>
      </c>
      <c r="AA15" s="38" t="n">
        <f aca="false">IFERROR(AVERAGE(R15:U15),0)</f>
        <v>0</v>
      </c>
    </row>
    <row r="16" customFormat="false" ht="15" hidden="false" customHeight="true" outlineLevel="0" collapsed="false">
      <c r="A16" s="35" t="n">
        <v>3</v>
      </c>
      <c r="B16" s="35" t="n">
        <f aca="false">'Mid &amp; Assgn - A'!B19</f>
        <v>0</v>
      </c>
      <c r="C16" s="35" t="n">
        <f aca="false">'Mid &amp; Assgn - A'!C19</f>
        <v>0</v>
      </c>
      <c r="D16" s="36" t="n">
        <f aca="false">IFERROR(SUM('Mid &amp; Assgn - A'!D19:I19),0)</f>
        <v>0</v>
      </c>
      <c r="E16" s="36" t="n">
        <f aca="false">IFERROR(SUM('Mid &amp; Assgn - A'!J19:M19),0)</f>
        <v>0</v>
      </c>
      <c r="F16" s="36" t="n">
        <f aca="false">D16+E16</f>
        <v>0</v>
      </c>
      <c r="G16" s="36" t="n">
        <f aca="false">IFERROR(ROUND(F16/30*15,2),0)</f>
        <v>0</v>
      </c>
      <c r="H16" s="36" t="n">
        <f aca="false">IFERROR(SUM('Mid &amp; Assgn - A'!N19:S19),0)</f>
        <v>0</v>
      </c>
      <c r="I16" s="36" t="n">
        <f aca="false">IFERROR(SUM('Mid &amp; Assgn - A'!T19:Y19),0)</f>
        <v>0</v>
      </c>
      <c r="J16" s="36" t="n">
        <f aca="false">H16+I16</f>
        <v>0</v>
      </c>
      <c r="K16" s="36" t="n">
        <f aca="false">IFERROR(ROUND(J16/30*15,2),0)</f>
        <v>0</v>
      </c>
      <c r="L16" s="36" t="n">
        <f aca="false">'Mid &amp; Assgn - A'!Z19</f>
        <v>0</v>
      </c>
      <c r="M16" s="36" t="n">
        <f aca="false">'Mid &amp; Assgn - A'!AA19</f>
        <v>0</v>
      </c>
      <c r="N16" s="36" t="n">
        <f aca="false">'Mid &amp; Assgn - A'!AB19</f>
        <v>0</v>
      </c>
      <c r="O16" s="36" t="n">
        <f aca="false">'Mid &amp; Assgn - A'!AC19</f>
        <v>0</v>
      </c>
      <c r="P16" s="36" t="n">
        <f aca="false">'Mid &amp; Assgn - A'!AD19</f>
        <v>0</v>
      </c>
      <c r="Q16" s="36" t="n">
        <f aca="false">'Mid &amp; Assgn - A'!AE19</f>
        <v>0</v>
      </c>
      <c r="R16" s="36" t="n">
        <f aca="false">IF(D16/30&gt;=0.7,3,IF(D16/30&gt;=0.5,2,IF(D16/30&gt;=0.35,1,0)))</f>
        <v>0</v>
      </c>
      <c r="S16" s="36" t="n">
        <f aca="false">IF(E16/30&gt;=0.7,3,IF(E16/30&gt;=0.5,2,IF(E16/30&gt;=0.35,1,0)))</f>
        <v>0</v>
      </c>
      <c r="T16" s="36" t="n">
        <f aca="false">IF(H16/30&gt;=0.7,3,IF(H16/30&gt;=0.5,2,IF(H16/30&gt;=0.35,1,0)))</f>
        <v>0</v>
      </c>
      <c r="U16" s="36" t="n">
        <f aca="false">IF(I16/30&gt;=0.7,3,IF(I16/30&gt;=0.5,2,IF(I16/30&gt;=0.35,1,0)))</f>
        <v>0</v>
      </c>
      <c r="V16" s="36"/>
      <c r="W16" s="36"/>
      <c r="X16" s="36"/>
      <c r="Y16" s="36"/>
      <c r="Z16" s="36" t="n">
        <f aca="false">G16+K16+L16+M16+N16+O16+P16</f>
        <v>0</v>
      </c>
      <c r="AA16" s="36" t="n">
        <f aca="false">IFERROR(AVERAGE(R16:U16),0)</f>
        <v>0</v>
      </c>
    </row>
    <row r="17" customFormat="false" ht="15" hidden="false" customHeight="true" outlineLevel="0" collapsed="false">
      <c r="A17" s="37" t="n">
        <v>4</v>
      </c>
      <c r="B17" s="37" t="n">
        <f aca="false">'Mid &amp; Assgn - A'!B20</f>
        <v>0</v>
      </c>
      <c r="C17" s="37" t="n">
        <f aca="false">'Mid &amp; Assgn - A'!C20</f>
        <v>0</v>
      </c>
      <c r="D17" s="38" t="n">
        <f aca="false">IFERROR(SUM('Mid &amp; Assgn - A'!D20:I20),0)</f>
        <v>0</v>
      </c>
      <c r="E17" s="38" t="n">
        <f aca="false">IFERROR(SUM('Mid &amp; Assgn - A'!J20:M20),0)</f>
        <v>0</v>
      </c>
      <c r="F17" s="38" t="n">
        <f aca="false">D17+E17</f>
        <v>0</v>
      </c>
      <c r="G17" s="38" t="n">
        <f aca="false">IFERROR(ROUND(F17/30*15,2),0)</f>
        <v>0</v>
      </c>
      <c r="H17" s="38" t="n">
        <f aca="false">IFERROR(SUM('Mid &amp; Assgn - A'!N20:S20),0)</f>
        <v>0</v>
      </c>
      <c r="I17" s="38" t="n">
        <f aca="false">IFERROR(SUM('Mid &amp; Assgn - A'!T20:Y20),0)</f>
        <v>0</v>
      </c>
      <c r="J17" s="38" t="n">
        <f aca="false">H17+I17</f>
        <v>0</v>
      </c>
      <c r="K17" s="38" t="n">
        <f aca="false">IFERROR(ROUND(J17/30*15,2),0)</f>
        <v>0</v>
      </c>
      <c r="L17" s="38" t="n">
        <f aca="false">'Mid &amp; Assgn - A'!Z20</f>
        <v>0</v>
      </c>
      <c r="M17" s="38" t="n">
        <f aca="false">'Mid &amp; Assgn - A'!AA20</f>
        <v>0</v>
      </c>
      <c r="N17" s="38" t="n">
        <f aca="false">'Mid &amp; Assgn - A'!AB20</f>
        <v>0</v>
      </c>
      <c r="O17" s="38" t="n">
        <f aca="false">'Mid &amp; Assgn - A'!AC20</f>
        <v>0</v>
      </c>
      <c r="P17" s="38" t="n">
        <f aca="false">'Mid &amp; Assgn - A'!AD20</f>
        <v>0</v>
      </c>
      <c r="Q17" s="38" t="n">
        <f aca="false">'Mid &amp; Assgn - A'!AE20</f>
        <v>0</v>
      </c>
      <c r="R17" s="38" t="n">
        <f aca="false">IF(D17/30&gt;=0.7,3,IF(D17/30&gt;=0.5,2,IF(D17/30&gt;=0.35,1,0)))</f>
        <v>0</v>
      </c>
      <c r="S17" s="38" t="n">
        <f aca="false">IF(E17/30&gt;=0.7,3,IF(E17/30&gt;=0.5,2,IF(E17/30&gt;=0.35,1,0)))</f>
        <v>0</v>
      </c>
      <c r="T17" s="38" t="n">
        <f aca="false">IF(H17/30&gt;=0.7,3,IF(H17/30&gt;=0.5,2,IF(H17/30&gt;=0.35,1,0)))</f>
        <v>0</v>
      </c>
      <c r="U17" s="38" t="n">
        <f aca="false">IF(I17/30&gt;=0.7,3,IF(I17/30&gt;=0.5,2,IF(I17/30&gt;=0.35,1,0)))</f>
        <v>0</v>
      </c>
      <c r="V17" s="38"/>
      <c r="W17" s="38"/>
      <c r="X17" s="38"/>
      <c r="Y17" s="38"/>
      <c r="Z17" s="38" t="n">
        <f aca="false">G17+K17+L17+M17+N17+O17+P17</f>
        <v>0</v>
      </c>
      <c r="AA17" s="38" t="n">
        <f aca="false">IFERROR(AVERAGE(R17:U17),0)</f>
        <v>0</v>
      </c>
    </row>
    <row r="18" customFormat="false" ht="15" hidden="false" customHeight="true" outlineLevel="0" collapsed="false">
      <c r="A18" s="35" t="n">
        <v>5</v>
      </c>
      <c r="B18" s="35" t="n">
        <f aca="false">'Mid &amp; Assgn - A'!B21</f>
        <v>0</v>
      </c>
      <c r="C18" s="35" t="n">
        <f aca="false">'Mid &amp; Assgn - A'!C21</f>
        <v>0</v>
      </c>
      <c r="D18" s="36" t="n">
        <f aca="false">IFERROR(SUM('Mid &amp; Assgn - A'!D21:I21),0)</f>
        <v>0</v>
      </c>
      <c r="E18" s="36" t="n">
        <f aca="false">IFERROR(SUM('Mid &amp; Assgn - A'!J21:M21),0)</f>
        <v>0</v>
      </c>
      <c r="F18" s="36" t="n">
        <f aca="false">D18+E18</f>
        <v>0</v>
      </c>
      <c r="G18" s="36" t="n">
        <f aca="false">IFERROR(ROUND(F18/30*15,2),0)</f>
        <v>0</v>
      </c>
      <c r="H18" s="36" t="n">
        <f aca="false">IFERROR(SUM('Mid &amp; Assgn - A'!N21:S21),0)</f>
        <v>0</v>
      </c>
      <c r="I18" s="36" t="n">
        <f aca="false">IFERROR(SUM('Mid &amp; Assgn - A'!T21:Y21),0)</f>
        <v>0</v>
      </c>
      <c r="J18" s="36" t="n">
        <f aca="false">H18+I18</f>
        <v>0</v>
      </c>
      <c r="K18" s="36" t="n">
        <f aca="false">IFERROR(ROUND(J18/30*15,2),0)</f>
        <v>0</v>
      </c>
      <c r="L18" s="36" t="n">
        <f aca="false">'Mid &amp; Assgn - A'!Z21</f>
        <v>0</v>
      </c>
      <c r="M18" s="36" t="n">
        <f aca="false">'Mid &amp; Assgn - A'!AA21</f>
        <v>0</v>
      </c>
      <c r="N18" s="36" t="n">
        <f aca="false">'Mid &amp; Assgn - A'!AB21</f>
        <v>0</v>
      </c>
      <c r="O18" s="36" t="n">
        <f aca="false">'Mid &amp; Assgn - A'!AC21</f>
        <v>0</v>
      </c>
      <c r="P18" s="36" t="n">
        <f aca="false">'Mid &amp; Assgn - A'!AD21</f>
        <v>0</v>
      </c>
      <c r="Q18" s="36" t="n">
        <f aca="false">'Mid &amp; Assgn - A'!AE21</f>
        <v>0</v>
      </c>
      <c r="R18" s="36" t="n">
        <f aca="false">IF(D18/30&gt;=0.7,3,IF(D18/30&gt;=0.5,2,IF(D18/30&gt;=0.35,1,0)))</f>
        <v>0</v>
      </c>
      <c r="S18" s="36" t="n">
        <f aca="false">IF(E18/30&gt;=0.7,3,IF(E18/30&gt;=0.5,2,IF(E18/30&gt;=0.35,1,0)))</f>
        <v>0</v>
      </c>
      <c r="T18" s="36" t="n">
        <f aca="false">IF(H18/30&gt;=0.7,3,IF(H18/30&gt;=0.5,2,IF(H18/30&gt;=0.35,1,0)))</f>
        <v>0</v>
      </c>
      <c r="U18" s="36" t="n">
        <f aca="false">IF(I18/30&gt;=0.7,3,IF(I18/30&gt;=0.5,2,IF(I18/30&gt;=0.35,1,0)))</f>
        <v>0</v>
      </c>
      <c r="V18" s="36"/>
      <c r="W18" s="36"/>
      <c r="X18" s="36"/>
      <c r="Y18" s="36"/>
      <c r="Z18" s="36" t="n">
        <f aca="false">G18+K18+L18+M18+N18+O18+P18</f>
        <v>0</v>
      </c>
      <c r="AA18" s="36" t="n">
        <f aca="false">IFERROR(AVERAGE(R18:U18),0)</f>
        <v>0</v>
      </c>
    </row>
    <row r="19" customFormat="false" ht="15" hidden="false" customHeight="true" outlineLevel="0" collapsed="false">
      <c r="A19" s="37" t="n">
        <v>6</v>
      </c>
      <c r="B19" s="37" t="n">
        <f aca="false">'Mid &amp; Assgn - A'!B22</f>
        <v>0</v>
      </c>
      <c r="C19" s="37" t="n">
        <f aca="false">'Mid &amp; Assgn - A'!C22</f>
        <v>0</v>
      </c>
      <c r="D19" s="38" t="n">
        <f aca="false">IFERROR(SUM('Mid &amp; Assgn - A'!D22:I22),0)</f>
        <v>0</v>
      </c>
      <c r="E19" s="38" t="n">
        <f aca="false">IFERROR(SUM('Mid &amp; Assgn - A'!J22:M22),0)</f>
        <v>0</v>
      </c>
      <c r="F19" s="38" t="n">
        <f aca="false">D19+E19</f>
        <v>0</v>
      </c>
      <c r="G19" s="38" t="n">
        <f aca="false">IFERROR(ROUND(F19/30*15,2),0)</f>
        <v>0</v>
      </c>
      <c r="H19" s="38" t="n">
        <f aca="false">IFERROR(SUM('Mid &amp; Assgn - A'!N22:S22),0)</f>
        <v>0</v>
      </c>
      <c r="I19" s="38" t="n">
        <f aca="false">IFERROR(SUM('Mid &amp; Assgn - A'!T22:Y22),0)</f>
        <v>0</v>
      </c>
      <c r="J19" s="38" t="n">
        <f aca="false">H19+I19</f>
        <v>0</v>
      </c>
      <c r="K19" s="38" t="n">
        <f aca="false">IFERROR(ROUND(J19/30*15,2),0)</f>
        <v>0</v>
      </c>
      <c r="L19" s="38" t="n">
        <f aca="false">'Mid &amp; Assgn - A'!Z22</f>
        <v>0</v>
      </c>
      <c r="M19" s="38" t="n">
        <f aca="false">'Mid &amp; Assgn - A'!AA22</f>
        <v>0</v>
      </c>
      <c r="N19" s="38" t="n">
        <f aca="false">'Mid &amp; Assgn - A'!AB22</f>
        <v>0</v>
      </c>
      <c r="O19" s="38" t="n">
        <f aca="false">'Mid &amp; Assgn - A'!AC22</f>
        <v>0</v>
      </c>
      <c r="P19" s="38" t="n">
        <f aca="false">'Mid &amp; Assgn - A'!AD22</f>
        <v>0</v>
      </c>
      <c r="Q19" s="38" t="n">
        <f aca="false">'Mid &amp; Assgn - A'!AE22</f>
        <v>0</v>
      </c>
      <c r="R19" s="38" t="n">
        <f aca="false">IF(D19/30&gt;=0.7,3,IF(D19/30&gt;=0.5,2,IF(D19/30&gt;=0.35,1,0)))</f>
        <v>0</v>
      </c>
      <c r="S19" s="38" t="n">
        <f aca="false">IF(E19/30&gt;=0.7,3,IF(E19/30&gt;=0.5,2,IF(E19/30&gt;=0.35,1,0)))</f>
        <v>0</v>
      </c>
      <c r="T19" s="38" t="n">
        <f aca="false">IF(H19/30&gt;=0.7,3,IF(H19/30&gt;=0.5,2,IF(H19/30&gt;=0.35,1,0)))</f>
        <v>0</v>
      </c>
      <c r="U19" s="38" t="n">
        <f aca="false">IF(I19/30&gt;=0.7,3,IF(I19/30&gt;=0.5,2,IF(I19/30&gt;=0.35,1,0)))</f>
        <v>0</v>
      </c>
      <c r="V19" s="38"/>
      <c r="W19" s="38"/>
      <c r="X19" s="38"/>
      <c r="Y19" s="38"/>
      <c r="Z19" s="38" t="n">
        <f aca="false">G19+K19+L19+M19+N19+O19+P19</f>
        <v>0</v>
      </c>
      <c r="AA19" s="38" t="n">
        <f aca="false">IFERROR(AVERAGE(R19:U19),0)</f>
        <v>0</v>
      </c>
    </row>
    <row r="20" customFormat="false" ht="15" hidden="false" customHeight="true" outlineLevel="0" collapsed="false">
      <c r="A20" s="35" t="n">
        <v>7</v>
      </c>
      <c r="B20" s="35" t="n">
        <f aca="false">'Mid &amp; Assgn - A'!B23</f>
        <v>0</v>
      </c>
      <c r="C20" s="35" t="n">
        <f aca="false">'Mid &amp; Assgn - A'!C23</f>
        <v>0</v>
      </c>
      <c r="D20" s="36" t="n">
        <f aca="false">IFERROR(SUM('Mid &amp; Assgn - A'!D23:I23),0)</f>
        <v>0</v>
      </c>
      <c r="E20" s="36" t="n">
        <f aca="false">IFERROR(SUM('Mid &amp; Assgn - A'!J23:M23),0)</f>
        <v>0</v>
      </c>
      <c r="F20" s="36" t="n">
        <f aca="false">D20+E20</f>
        <v>0</v>
      </c>
      <c r="G20" s="36" t="n">
        <f aca="false">IFERROR(ROUND(F20/30*15,2),0)</f>
        <v>0</v>
      </c>
      <c r="H20" s="36" t="n">
        <f aca="false">IFERROR(SUM('Mid &amp; Assgn - A'!N23:S23),0)</f>
        <v>0</v>
      </c>
      <c r="I20" s="36" t="n">
        <f aca="false">IFERROR(SUM('Mid &amp; Assgn - A'!T23:Y23),0)</f>
        <v>0</v>
      </c>
      <c r="J20" s="36" t="n">
        <f aca="false">H20+I20</f>
        <v>0</v>
      </c>
      <c r="K20" s="36" t="n">
        <f aca="false">IFERROR(ROUND(J20/30*15,2),0)</f>
        <v>0</v>
      </c>
      <c r="L20" s="36" t="n">
        <f aca="false">'Mid &amp; Assgn - A'!Z23</f>
        <v>0</v>
      </c>
      <c r="M20" s="36" t="n">
        <f aca="false">'Mid &amp; Assgn - A'!AA23</f>
        <v>0</v>
      </c>
      <c r="N20" s="36" t="n">
        <f aca="false">'Mid &amp; Assgn - A'!AB23</f>
        <v>0</v>
      </c>
      <c r="O20" s="36" t="n">
        <f aca="false">'Mid &amp; Assgn - A'!AC23</f>
        <v>0</v>
      </c>
      <c r="P20" s="36" t="n">
        <f aca="false">'Mid &amp; Assgn - A'!AD23</f>
        <v>0</v>
      </c>
      <c r="Q20" s="36" t="n">
        <f aca="false">'Mid &amp; Assgn - A'!AE23</f>
        <v>0</v>
      </c>
      <c r="R20" s="36" t="n">
        <f aca="false">IF(D20/30&gt;=0.7,3,IF(D20/30&gt;=0.5,2,IF(D20/30&gt;=0.35,1,0)))</f>
        <v>0</v>
      </c>
      <c r="S20" s="36" t="n">
        <f aca="false">IF(E20/30&gt;=0.7,3,IF(E20/30&gt;=0.5,2,IF(E20/30&gt;=0.35,1,0)))</f>
        <v>0</v>
      </c>
      <c r="T20" s="36" t="n">
        <f aca="false">IF(H20/30&gt;=0.7,3,IF(H20/30&gt;=0.5,2,IF(H20/30&gt;=0.35,1,0)))</f>
        <v>0</v>
      </c>
      <c r="U20" s="36" t="n">
        <f aca="false">IF(I20/30&gt;=0.7,3,IF(I20/30&gt;=0.5,2,IF(I20/30&gt;=0.35,1,0)))</f>
        <v>0</v>
      </c>
      <c r="V20" s="36"/>
      <c r="W20" s="36"/>
      <c r="X20" s="36"/>
      <c r="Y20" s="36"/>
      <c r="Z20" s="36" t="n">
        <f aca="false">G20+K20+L20+M20+N20+O20+P20</f>
        <v>0</v>
      </c>
      <c r="AA20" s="36" t="n">
        <f aca="false">IFERROR(AVERAGE(R20:U20),0)</f>
        <v>0</v>
      </c>
    </row>
    <row r="21" customFormat="false" ht="15" hidden="false" customHeight="true" outlineLevel="0" collapsed="false">
      <c r="A21" s="37" t="n">
        <v>8</v>
      </c>
      <c r="B21" s="37" t="n">
        <f aca="false">'Mid &amp; Assgn - A'!B24</f>
        <v>0</v>
      </c>
      <c r="C21" s="37" t="n">
        <f aca="false">'Mid &amp; Assgn - A'!C24</f>
        <v>0</v>
      </c>
      <c r="D21" s="38" t="n">
        <f aca="false">IFERROR(SUM('Mid &amp; Assgn - A'!D24:I24),0)</f>
        <v>0</v>
      </c>
      <c r="E21" s="38" t="n">
        <f aca="false">IFERROR(SUM('Mid &amp; Assgn - A'!J24:M24),0)</f>
        <v>0</v>
      </c>
      <c r="F21" s="38" t="n">
        <f aca="false">D21+E21</f>
        <v>0</v>
      </c>
      <c r="G21" s="38" t="n">
        <f aca="false">IFERROR(ROUND(F21/30*15,2),0)</f>
        <v>0</v>
      </c>
      <c r="H21" s="38" t="n">
        <f aca="false">IFERROR(SUM('Mid &amp; Assgn - A'!N24:S24),0)</f>
        <v>0</v>
      </c>
      <c r="I21" s="38" t="n">
        <f aca="false">IFERROR(SUM('Mid &amp; Assgn - A'!T24:Y24),0)</f>
        <v>0</v>
      </c>
      <c r="J21" s="38" t="n">
        <f aca="false">H21+I21</f>
        <v>0</v>
      </c>
      <c r="K21" s="38" t="n">
        <f aca="false">IFERROR(ROUND(J21/30*15,2),0)</f>
        <v>0</v>
      </c>
      <c r="L21" s="38" t="n">
        <f aca="false">'Mid &amp; Assgn - A'!Z24</f>
        <v>0</v>
      </c>
      <c r="M21" s="38" t="n">
        <f aca="false">'Mid &amp; Assgn - A'!AA24</f>
        <v>0</v>
      </c>
      <c r="N21" s="38" t="n">
        <f aca="false">'Mid &amp; Assgn - A'!AB24</f>
        <v>0</v>
      </c>
      <c r="O21" s="38" t="n">
        <f aca="false">'Mid &amp; Assgn - A'!AC24</f>
        <v>0</v>
      </c>
      <c r="P21" s="38" t="n">
        <f aca="false">'Mid &amp; Assgn - A'!AD24</f>
        <v>0</v>
      </c>
      <c r="Q21" s="38" t="n">
        <f aca="false">'Mid &amp; Assgn - A'!AE24</f>
        <v>0</v>
      </c>
      <c r="R21" s="38" t="n">
        <f aca="false">IF(D21/30&gt;=0.7,3,IF(D21/30&gt;=0.5,2,IF(D21/30&gt;=0.35,1,0)))</f>
        <v>0</v>
      </c>
      <c r="S21" s="38" t="n">
        <f aca="false">IF(E21/30&gt;=0.7,3,IF(E21/30&gt;=0.5,2,IF(E21/30&gt;=0.35,1,0)))</f>
        <v>0</v>
      </c>
      <c r="T21" s="38" t="n">
        <f aca="false">IF(H21/30&gt;=0.7,3,IF(H21/30&gt;=0.5,2,IF(H21/30&gt;=0.35,1,0)))</f>
        <v>0</v>
      </c>
      <c r="U21" s="38" t="n">
        <f aca="false">IF(I21/30&gt;=0.7,3,IF(I21/30&gt;=0.5,2,IF(I21/30&gt;=0.35,1,0)))</f>
        <v>0</v>
      </c>
      <c r="V21" s="38"/>
      <c r="W21" s="38"/>
      <c r="X21" s="38"/>
      <c r="Y21" s="38"/>
      <c r="Z21" s="38" t="n">
        <f aca="false">G21+K21+L21+M21+N21+O21+P21</f>
        <v>0</v>
      </c>
      <c r="AA21" s="38" t="n">
        <f aca="false">IFERROR(AVERAGE(R21:U21),0)</f>
        <v>0</v>
      </c>
    </row>
    <row r="22" customFormat="false" ht="15" hidden="false" customHeight="true" outlineLevel="0" collapsed="false">
      <c r="A22" s="35" t="n">
        <v>9</v>
      </c>
      <c r="B22" s="35" t="n">
        <f aca="false">'Mid &amp; Assgn - A'!B25</f>
        <v>0</v>
      </c>
      <c r="C22" s="35" t="n">
        <f aca="false">'Mid &amp; Assgn - A'!C25</f>
        <v>0</v>
      </c>
      <c r="D22" s="36" t="n">
        <f aca="false">IFERROR(SUM('Mid &amp; Assgn - A'!D25:I25),0)</f>
        <v>0</v>
      </c>
      <c r="E22" s="36" t="n">
        <f aca="false">IFERROR(SUM('Mid &amp; Assgn - A'!J25:M25),0)</f>
        <v>0</v>
      </c>
      <c r="F22" s="36" t="n">
        <f aca="false">D22+E22</f>
        <v>0</v>
      </c>
      <c r="G22" s="36" t="n">
        <f aca="false">IFERROR(ROUND(F22/30*15,2),0)</f>
        <v>0</v>
      </c>
      <c r="H22" s="36" t="n">
        <f aca="false">IFERROR(SUM('Mid &amp; Assgn - A'!N25:S25),0)</f>
        <v>0</v>
      </c>
      <c r="I22" s="36" t="n">
        <f aca="false">IFERROR(SUM('Mid &amp; Assgn - A'!T25:Y25),0)</f>
        <v>0</v>
      </c>
      <c r="J22" s="36" t="n">
        <f aca="false">H22+I22</f>
        <v>0</v>
      </c>
      <c r="K22" s="36" t="n">
        <f aca="false">IFERROR(ROUND(J22/30*15,2),0)</f>
        <v>0</v>
      </c>
      <c r="L22" s="36" t="n">
        <f aca="false">'Mid &amp; Assgn - A'!Z25</f>
        <v>0</v>
      </c>
      <c r="M22" s="36" t="n">
        <f aca="false">'Mid &amp; Assgn - A'!AA25</f>
        <v>0</v>
      </c>
      <c r="N22" s="36" t="n">
        <f aca="false">'Mid &amp; Assgn - A'!AB25</f>
        <v>0</v>
      </c>
      <c r="O22" s="36" t="n">
        <f aca="false">'Mid &amp; Assgn - A'!AC25</f>
        <v>0</v>
      </c>
      <c r="P22" s="36" t="n">
        <f aca="false">'Mid &amp; Assgn - A'!AD25</f>
        <v>0</v>
      </c>
      <c r="Q22" s="36" t="n">
        <f aca="false">'Mid &amp; Assgn - A'!AE25</f>
        <v>0</v>
      </c>
      <c r="R22" s="36" t="n">
        <f aca="false">IF(D22/30&gt;=0.7,3,IF(D22/30&gt;=0.5,2,IF(D22/30&gt;=0.35,1,0)))</f>
        <v>0</v>
      </c>
      <c r="S22" s="36" t="n">
        <f aca="false">IF(E22/30&gt;=0.7,3,IF(E22/30&gt;=0.5,2,IF(E22/30&gt;=0.35,1,0)))</f>
        <v>0</v>
      </c>
      <c r="T22" s="36" t="n">
        <f aca="false">IF(H22/30&gt;=0.7,3,IF(H22/30&gt;=0.5,2,IF(H22/30&gt;=0.35,1,0)))</f>
        <v>0</v>
      </c>
      <c r="U22" s="36" t="n">
        <f aca="false">IF(I22/30&gt;=0.7,3,IF(I22/30&gt;=0.5,2,IF(I22/30&gt;=0.35,1,0)))</f>
        <v>0</v>
      </c>
      <c r="V22" s="36"/>
      <c r="W22" s="36"/>
      <c r="X22" s="36"/>
      <c r="Y22" s="36"/>
      <c r="Z22" s="36" t="n">
        <f aca="false">G22+K22+L22+M22+N22+O22+P22</f>
        <v>0</v>
      </c>
      <c r="AA22" s="36" t="n">
        <f aca="false">IFERROR(AVERAGE(R22:U22),0)</f>
        <v>0</v>
      </c>
    </row>
    <row r="23" customFormat="false" ht="15" hidden="false" customHeight="true" outlineLevel="0" collapsed="false">
      <c r="A23" s="37" t="n">
        <v>10</v>
      </c>
      <c r="B23" s="37" t="n">
        <f aca="false">'Mid &amp; Assgn - A'!B26</f>
        <v>0</v>
      </c>
      <c r="C23" s="37" t="n">
        <f aca="false">'Mid &amp; Assgn - A'!C26</f>
        <v>0</v>
      </c>
      <c r="D23" s="38" t="n">
        <f aca="false">IFERROR(SUM('Mid &amp; Assgn - A'!D26:I26),0)</f>
        <v>0</v>
      </c>
      <c r="E23" s="38" t="n">
        <f aca="false">IFERROR(SUM('Mid &amp; Assgn - A'!J26:M26),0)</f>
        <v>0</v>
      </c>
      <c r="F23" s="38" t="n">
        <f aca="false">D23+E23</f>
        <v>0</v>
      </c>
      <c r="G23" s="38" t="n">
        <f aca="false">IFERROR(ROUND(F23/30*15,2),0)</f>
        <v>0</v>
      </c>
      <c r="H23" s="38" t="n">
        <f aca="false">IFERROR(SUM('Mid &amp; Assgn - A'!N26:S26),0)</f>
        <v>0</v>
      </c>
      <c r="I23" s="38" t="n">
        <f aca="false">IFERROR(SUM('Mid &amp; Assgn - A'!T26:Y26),0)</f>
        <v>0</v>
      </c>
      <c r="J23" s="38" t="n">
        <f aca="false">H23+I23</f>
        <v>0</v>
      </c>
      <c r="K23" s="38" t="n">
        <f aca="false">IFERROR(ROUND(J23/30*15,2),0)</f>
        <v>0</v>
      </c>
      <c r="L23" s="38" t="n">
        <f aca="false">'Mid &amp; Assgn - A'!Z26</f>
        <v>0</v>
      </c>
      <c r="M23" s="38" t="n">
        <f aca="false">'Mid &amp; Assgn - A'!AA26</f>
        <v>0</v>
      </c>
      <c r="N23" s="38" t="n">
        <f aca="false">'Mid &amp; Assgn - A'!AB26</f>
        <v>0</v>
      </c>
      <c r="O23" s="38" t="n">
        <f aca="false">'Mid &amp; Assgn - A'!AC26</f>
        <v>0</v>
      </c>
      <c r="P23" s="38" t="n">
        <f aca="false">'Mid &amp; Assgn - A'!AD26</f>
        <v>0</v>
      </c>
      <c r="Q23" s="38" t="n">
        <f aca="false">'Mid &amp; Assgn - A'!AE26</f>
        <v>0</v>
      </c>
      <c r="R23" s="38" t="n">
        <f aca="false">IF(D23/30&gt;=0.7,3,IF(D23/30&gt;=0.5,2,IF(D23/30&gt;=0.35,1,0)))</f>
        <v>0</v>
      </c>
      <c r="S23" s="38" t="n">
        <f aca="false">IF(E23/30&gt;=0.7,3,IF(E23/30&gt;=0.5,2,IF(E23/30&gt;=0.35,1,0)))</f>
        <v>0</v>
      </c>
      <c r="T23" s="38" t="n">
        <f aca="false">IF(H23/30&gt;=0.7,3,IF(H23/30&gt;=0.5,2,IF(H23/30&gt;=0.35,1,0)))</f>
        <v>0</v>
      </c>
      <c r="U23" s="38" t="n">
        <f aca="false">IF(I23/30&gt;=0.7,3,IF(I23/30&gt;=0.5,2,IF(I23/30&gt;=0.35,1,0)))</f>
        <v>0</v>
      </c>
      <c r="V23" s="38"/>
      <c r="W23" s="38"/>
      <c r="X23" s="38"/>
      <c r="Y23" s="38"/>
      <c r="Z23" s="38" t="n">
        <f aca="false">G23+K23+L23+M23+N23+O23+P23</f>
        <v>0</v>
      </c>
      <c r="AA23" s="38" t="n">
        <f aca="false">IFERROR(AVERAGE(R23:U23),0)</f>
        <v>0</v>
      </c>
    </row>
    <row r="24" customFormat="false" ht="15" hidden="false" customHeight="true" outlineLevel="0" collapsed="false">
      <c r="A24" s="35" t="n">
        <v>11</v>
      </c>
      <c r="B24" s="35" t="n">
        <f aca="false">'Mid &amp; Assgn - A'!B27</f>
        <v>0</v>
      </c>
      <c r="C24" s="35" t="n">
        <f aca="false">'Mid &amp; Assgn - A'!C27</f>
        <v>0</v>
      </c>
      <c r="D24" s="36" t="n">
        <f aca="false">IFERROR(SUM('Mid &amp; Assgn - A'!D27:I27),0)</f>
        <v>0</v>
      </c>
      <c r="E24" s="36" t="n">
        <f aca="false">IFERROR(SUM('Mid &amp; Assgn - A'!J27:M27),0)</f>
        <v>0</v>
      </c>
      <c r="F24" s="36" t="n">
        <f aca="false">D24+E24</f>
        <v>0</v>
      </c>
      <c r="G24" s="36" t="n">
        <f aca="false">IFERROR(ROUND(F24/30*15,2),0)</f>
        <v>0</v>
      </c>
      <c r="H24" s="36" t="n">
        <f aca="false">IFERROR(SUM('Mid &amp; Assgn - A'!N27:S27),0)</f>
        <v>0</v>
      </c>
      <c r="I24" s="36" t="n">
        <f aca="false">IFERROR(SUM('Mid &amp; Assgn - A'!T27:Y27),0)</f>
        <v>0</v>
      </c>
      <c r="J24" s="36" t="n">
        <f aca="false">H24+I24</f>
        <v>0</v>
      </c>
      <c r="K24" s="36" t="n">
        <f aca="false">IFERROR(ROUND(J24/30*15,2),0)</f>
        <v>0</v>
      </c>
      <c r="L24" s="36" t="n">
        <f aca="false">'Mid &amp; Assgn - A'!Z27</f>
        <v>0</v>
      </c>
      <c r="M24" s="36" t="n">
        <f aca="false">'Mid &amp; Assgn - A'!AA27</f>
        <v>0</v>
      </c>
      <c r="N24" s="36" t="n">
        <f aca="false">'Mid &amp; Assgn - A'!AB27</f>
        <v>0</v>
      </c>
      <c r="O24" s="36" t="n">
        <f aca="false">'Mid &amp; Assgn - A'!AC27</f>
        <v>0</v>
      </c>
      <c r="P24" s="36" t="n">
        <f aca="false">'Mid &amp; Assgn - A'!AD27</f>
        <v>0</v>
      </c>
      <c r="Q24" s="36" t="n">
        <f aca="false">'Mid &amp; Assgn - A'!AE27</f>
        <v>0</v>
      </c>
      <c r="R24" s="36" t="n">
        <f aca="false">IF(D24/30&gt;=0.7,3,IF(D24/30&gt;=0.5,2,IF(D24/30&gt;=0.35,1,0)))</f>
        <v>0</v>
      </c>
      <c r="S24" s="36" t="n">
        <f aca="false">IF(E24/30&gt;=0.7,3,IF(E24/30&gt;=0.5,2,IF(E24/30&gt;=0.35,1,0)))</f>
        <v>0</v>
      </c>
      <c r="T24" s="36" t="n">
        <f aca="false">IF(H24/30&gt;=0.7,3,IF(H24/30&gt;=0.5,2,IF(H24/30&gt;=0.35,1,0)))</f>
        <v>0</v>
      </c>
      <c r="U24" s="36" t="n">
        <f aca="false">IF(I24/30&gt;=0.7,3,IF(I24/30&gt;=0.5,2,IF(I24/30&gt;=0.35,1,0)))</f>
        <v>0</v>
      </c>
      <c r="V24" s="36"/>
      <c r="W24" s="36"/>
      <c r="X24" s="36"/>
      <c r="Y24" s="36"/>
      <c r="Z24" s="36" t="n">
        <f aca="false">G24+K24+L24+M24+N24+O24+P24</f>
        <v>0</v>
      </c>
      <c r="AA24" s="36" t="n">
        <f aca="false">IFERROR(AVERAGE(R24:U24),0)</f>
        <v>0</v>
      </c>
    </row>
    <row r="25" customFormat="false" ht="15" hidden="false" customHeight="true" outlineLevel="0" collapsed="false">
      <c r="A25" s="37" t="n">
        <v>12</v>
      </c>
      <c r="B25" s="37" t="n">
        <f aca="false">'Mid &amp; Assgn - A'!B28</f>
        <v>0</v>
      </c>
      <c r="C25" s="37" t="n">
        <f aca="false">'Mid &amp; Assgn - A'!C28</f>
        <v>0</v>
      </c>
      <c r="D25" s="38" t="n">
        <f aca="false">IFERROR(SUM('Mid &amp; Assgn - A'!D28:I28),0)</f>
        <v>0</v>
      </c>
      <c r="E25" s="38" t="n">
        <f aca="false">IFERROR(SUM('Mid &amp; Assgn - A'!J28:M28),0)</f>
        <v>0</v>
      </c>
      <c r="F25" s="38" t="n">
        <f aca="false">D25+E25</f>
        <v>0</v>
      </c>
      <c r="G25" s="38" t="n">
        <f aca="false">IFERROR(ROUND(F25/30*15,2),0)</f>
        <v>0</v>
      </c>
      <c r="H25" s="38" t="n">
        <f aca="false">IFERROR(SUM('Mid &amp; Assgn - A'!N28:S28),0)</f>
        <v>0</v>
      </c>
      <c r="I25" s="38" t="n">
        <f aca="false">IFERROR(SUM('Mid &amp; Assgn - A'!T28:Y28),0)</f>
        <v>0</v>
      </c>
      <c r="J25" s="38" t="n">
        <f aca="false">H25+I25</f>
        <v>0</v>
      </c>
      <c r="K25" s="38" t="n">
        <f aca="false">IFERROR(ROUND(J25/30*15,2),0)</f>
        <v>0</v>
      </c>
      <c r="L25" s="38" t="n">
        <f aca="false">'Mid &amp; Assgn - A'!Z28</f>
        <v>0</v>
      </c>
      <c r="M25" s="38" t="n">
        <f aca="false">'Mid &amp; Assgn - A'!AA28</f>
        <v>0</v>
      </c>
      <c r="N25" s="38" t="n">
        <f aca="false">'Mid &amp; Assgn - A'!AB28</f>
        <v>0</v>
      </c>
      <c r="O25" s="38" t="n">
        <f aca="false">'Mid &amp; Assgn - A'!AC28</f>
        <v>0</v>
      </c>
      <c r="P25" s="38" t="n">
        <f aca="false">'Mid &amp; Assgn - A'!AD28</f>
        <v>0</v>
      </c>
      <c r="Q25" s="38" t="n">
        <f aca="false">'Mid &amp; Assgn - A'!AE28</f>
        <v>0</v>
      </c>
      <c r="R25" s="38" t="n">
        <f aca="false">IF(D25/30&gt;=0.7,3,IF(D25/30&gt;=0.5,2,IF(D25/30&gt;=0.35,1,0)))</f>
        <v>0</v>
      </c>
      <c r="S25" s="38" t="n">
        <f aca="false">IF(E25/30&gt;=0.7,3,IF(E25/30&gt;=0.5,2,IF(E25/30&gt;=0.35,1,0)))</f>
        <v>0</v>
      </c>
      <c r="T25" s="38" t="n">
        <f aca="false">IF(H25/30&gt;=0.7,3,IF(H25/30&gt;=0.5,2,IF(H25/30&gt;=0.35,1,0)))</f>
        <v>0</v>
      </c>
      <c r="U25" s="38" t="n">
        <f aca="false">IF(I25/30&gt;=0.7,3,IF(I25/30&gt;=0.5,2,IF(I25/30&gt;=0.35,1,0)))</f>
        <v>0</v>
      </c>
      <c r="V25" s="38"/>
      <c r="W25" s="38"/>
      <c r="X25" s="38"/>
      <c r="Y25" s="38"/>
      <c r="Z25" s="38" t="n">
        <f aca="false">G25+K25+L25+M25+N25+O25+P25</f>
        <v>0</v>
      </c>
      <c r="AA25" s="38" t="n">
        <f aca="false">IFERROR(AVERAGE(R25:U25),0)</f>
        <v>0</v>
      </c>
    </row>
    <row r="26" customFormat="false" ht="15" hidden="false" customHeight="true" outlineLevel="0" collapsed="false">
      <c r="A26" s="35" t="n">
        <v>13</v>
      </c>
      <c r="B26" s="35" t="n">
        <f aca="false">'Mid &amp; Assgn - A'!B29</f>
        <v>0</v>
      </c>
      <c r="C26" s="35" t="n">
        <f aca="false">'Mid &amp; Assgn - A'!C29</f>
        <v>0</v>
      </c>
      <c r="D26" s="36" t="n">
        <f aca="false">IFERROR(SUM('Mid &amp; Assgn - A'!D29:I29),0)</f>
        <v>0</v>
      </c>
      <c r="E26" s="36" t="n">
        <f aca="false">IFERROR(SUM('Mid &amp; Assgn - A'!J29:M29),0)</f>
        <v>0</v>
      </c>
      <c r="F26" s="36" t="n">
        <f aca="false">D26+E26</f>
        <v>0</v>
      </c>
      <c r="G26" s="36" t="n">
        <f aca="false">IFERROR(ROUND(F26/30*15,2),0)</f>
        <v>0</v>
      </c>
      <c r="H26" s="36" t="n">
        <f aca="false">IFERROR(SUM('Mid &amp; Assgn - A'!N29:S29),0)</f>
        <v>0</v>
      </c>
      <c r="I26" s="36" t="n">
        <f aca="false">IFERROR(SUM('Mid &amp; Assgn - A'!T29:Y29),0)</f>
        <v>0</v>
      </c>
      <c r="J26" s="36" t="n">
        <f aca="false">H26+I26</f>
        <v>0</v>
      </c>
      <c r="K26" s="36" t="n">
        <f aca="false">IFERROR(ROUND(J26/30*15,2),0)</f>
        <v>0</v>
      </c>
      <c r="L26" s="36" t="n">
        <f aca="false">'Mid &amp; Assgn - A'!Z29</f>
        <v>0</v>
      </c>
      <c r="M26" s="36" t="n">
        <f aca="false">'Mid &amp; Assgn - A'!AA29</f>
        <v>0</v>
      </c>
      <c r="N26" s="36" t="n">
        <f aca="false">'Mid &amp; Assgn - A'!AB29</f>
        <v>0</v>
      </c>
      <c r="O26" s="36" t="n">
        <f aca="false">'Mid &amp; Assgn - A'!AC29</f>
        <v>0</v>
      </c>
      <c r="P26" s="36" t="n">
        <f aca="false">'Mid &amp; Assgn - A'!AD29</f>
        <v>0</v>
      </c>
      <c r="Q26" s="36" t="n">
        <f aca="false">'Mid &amp; Assgn - A'!AE29</f>
        <v>0</v>
      </c>
      <c r="R26" s="36" t="n">
        <f aca="false">IF(D26/30&gt;=0.7,3,IF(D26/30&gt;=0.5,2,IF(D26/30&gt;=0.35,1,0)))</f>
        <v>0</v>
      </c>
      <c r="S26" s="36" t="n">
        <f aca="false">IF(E26/30&gt;=0.7,3,IF(E26/30&gt;=0.5,2,IF(E26/30&gt;=0.35,1,0)))</f>
        <v>0</v>
      </c>
      <c r="T26" s="36" t="n">
        <f aca="false">IF(H26/30&gt;=0.7,3,IF(H26/30&gt;=0.5,2,IF(H26/30&gt;=0.35,1,0)))</f>
        <v>0</v>
      </c>
      <c r="U26" s="36" t="n">
        <f aca="false">IF(I26/30&gt;=0.7,3,IF(I26/30&gt;=0.5,2,IF(I26/30&gt;=0.35,1,0)))</f>
        <v>0</v>
      </c>
      <c r="V26" s="36"/>
      <c r="W26" s="36"/>
      <c r="X26" s="36"/>
      <c r="Y26" s="36"/>
      <c r="Z26" s="36" t="n">
        <f aca="false">G26+K26+L26+M26+N26+O26+P26</f>
        <v>0</v>
      </c>
      <c r="AA26" s="36" t="n">
        <f aca="false">IFERROR(AVERAGE(R26:U26),0)</f>
        <v>0</v>
      </c>
    </row>
    <row r="27" customFormat="false" ht="15" hidden="false" customHeight="true" outlineLevel="0" collapsed="false">
      <c r="A27" s="37" t="n">
        <v>14</v>
      </c>
      <c r="B27" s="37" t="n">
        <f aca="false">'Mid &amp; Assgn - A'!B30</f>
        <v>0</v>
      </c>
      <c r="C27" s="37" t="n">
        <f aca="false">'Mid &amp; Assgn - A'!C30</f>
        <v>0</v>
      </c>
      <c r="D27" s="38" t="n">
        <f aca="false">IFERROR(SUM('Mid &amp; Assgn - A'!D30:I30),0)</f>
        <v>0</v>
      </c>
      <c r="E27" s="38" t="n">
        <f aca="false">IFERROR(SUM('Mid &amp; Assgn - A'!J30:M30),0)</f>
        <v>0</v>
      </c>
      <c r="F27" s="38" t="n">
        <f aca="false">D27+E27</f>
        <v>0</v>
      </c>
      <c r="G27" s="38" t="n">
        <f aca="false">IFERROR(ROUND(F27/30*15,2),0)</f>
        <v>0</v>
      </c>
      <c r="H27" s="38" t="n">
        <f aca="false">IFERROR(SUM('Mid &amp; Assgn - A'!N30:S30),0)</f>
        <v>0</v>
      </c>
      <c r="I27" s="38" t="n">
        <f aca="false">IFERROR(SUM('Mid &amp; Assgn - A'!T30:Y30),0)</f>
        <v>0</v>
      </c>
      <c r="J27" s="38" t="n">
        <f aca="false">H27+I27</f>
        <v>0</v>
      </c>
      <c r="K27" s="38" t="n">
        <f aca="false">IFERROR(ROUND(J27/30*15,2),0)</f>
        <v>0</v>
      </c>
      <c r="L27" s="38" t="n">
        <f aca="false">'Mid &amp; Assgn - A'!Z30</f>
        <v>0</v>
      </c>
      <c r="M27" s="38" t="n">
        <f aca="false">'Mid &amp; Assgn - A'!AA30</f>
        <v>0</v>
      </c>
      <c r="N27" s="38" t="n">
        <f aca="false">'Mid &amp; Assgn - A'!AB30</f>
        <v>0</v>
      </c>
      <c r="O27" s="38" t="n">
        <f aca="false">'Mid &amp; Assgn - A'!AC30</f>
        <v>0</v>
      </c>
      <c r="P27" s="38" t="n">
        <f aca="false">'Mid &amp; Assgn - A'!AD30</f>
        <v>0</v>
      </c>
      <c r="Q27" s="38" t="n">
        <f aca="false">'Mid &amp; Assgn - A'!AE30</f>
        <v>0</v>
      </c>
      <c r="R27" s="38" t="n">
        <f aca="false">IF(D27/30&gt;=0.7,3,IF(D27/30&gt;=0.5,2,IF(D27/30&gt;=0.35,1,0)))</f>
        <v>0</v>
      </c>
      <c r="S27" s="38" t="n">
        <f aca="false">IF(E27/30&gt;=0.7,3,IF(E27/30&gt;=0.5,2,IF(E27/30&gt;=0.35,1,0)))</f>
        <v>0</v>
      </c>
      <c r="T27" s="38" t="n">
        <f aca="false">IF(H27/30&gt;=0.7,3,IF(H27/30&gt;=0.5,2,IF(H27/30&gt;=0.35,1,0)))</f>
        <v>0</v>
      </c>
      <c r="U27" s="38" t="n">
        <f aca="false">IF(I27/30&gt;=0.7,3,IF(I27/30&gt;=0.5,2,IF(I27/30&gt;=0.35,1,0)))</f>
        <v>0</v>
      </c>
      <c r="V27" s="38"/>
      <c r="W27" s="38"/>
      <c r="X27" s="38"/>
      <c r="Y27" s="38"/>
      <c r="Z27" s="38" t="n">
        <f aca="false">G27+K27+L27+M27+N27+O27+P27</f>
        <v>0</v>
      </c>
      <c r="AA27" s="38" t="n">
        <f aca="false">IFERROR(AVERAGE(R27:U27),0)</f>
        <v>0</v>
      </c>
    </row>
    <row r="28" customFormat="false" ht="15" hidden="false" customHeight="true" outlineLevel="0" collapsed="false">
      <c r="A28" s="35" t="n">
        <v>15</v>
      </c>
      <c r="B28" s="35" t="n">
        <f aca="false">'Mid &amp; Assgn - A'!B31</f>
        <v>0</v>
      </c>
      <c r="C28" s="35" t="n">
        <f aca="false">'Mid &amp; Assgn - A'!C31</f>
        <v>0</v>
      </c>
      <c r="D28" s="36" t="n">
        <f aca="false">IFERROR(SUM('Mid &amp; Assgn - A'!D31:I31),0)</f>
        <v>0</v>
      </c>
      <c r="E28" s="36" t="n">
        <f aca="false">IFERROR(SUM('Mid &amp; Assgn - A'!J31:M31),0)</f>
        <v>0</v>
      </c>
      <c r="F28" s="36" t="n">
        <f aca="false">D28+E28</f>
        <v>0</v>
      </c>
      <c r="G28" s="36" t="n">
        <f aca="false">IFERROR(ROUND(F28/30*15,2),0)</f>
        <v>0</v>
      </c>
      <c r="H28" s="36" t="n">
        <f aca="false">IFERROR(SUM('Mid &amp; Assgn - A'!N31:S31),0)</f>
        <v>0</v>
      </c>
      <c r="I28" s="36" t="n">
        <f aca="false">IFERROR(SUM('Mid &amp; Assgn - A'!T31:Y31),0)</f>
        <v>0</v>
      </c>
      <c r="J28" s="36" t="n">
        <f aca="false">H28+I28</f>
        <v>0</v>
      </c>
      <c r="K28" s="36" t="n">
        <f aca="false">IFERROR(ROUND(J28/30*15,2),0)</f>
        <v>0</v>
      </c>
      <c r="L28" s="36" t="n">
        <f aca="false">'Mid &amp; Assgn - A'!Z31</f>
        <v>0</v>
      </c>
      <c r="M28" s="36" t="n">
        <f aca="false">'Mid &amp; Assgn - A'!AA31</f>
        <v>0</v>
      </c>
      <c r="N28" s="36" t="n">
        <f aca="false">'Mid &amp; Assgn - A'!AB31</f>
        <v>0</v>
      </c>
      <c r="O28" s="36" t="n">
        <f aca="false">'Mid &amp; Assgn - A'!AC31</f>
        <v>0</v>
      </c>
      <c r="P28" s="36" t="n">
        <f aca="false">'Mid &amp; Assgn - A'!AD31</f>
        <v>0</v>
      </c>
      <c r="Q28" s="36" t="n">
        <f aca="false">'Mid &amp; Assgn - A'!AE31</f>
        <v>0</v>
      </c>
      <c r="R28" s="36" t="n">
        <f aca="false">IF(D28/30&gt;=0.7,3,IF(D28/30&gt;=0.5,2,IF(D28/30&gt;=0.35,1,0)))</f>
        <v>0</v>
      </c>
      <c r="S28" s="36" t="n">
        <f aca="false">IF(E28/30&gt;=0.7,3,IF(E28/30&gt;=0.5,2,IF(E28/30&gt;=0.35,1,0)))</f>
        <v>0</v>
      </c>
      <c r="T28" s="36" t="n">
        <f aca="false">IF(H28/30&gt;=0.7,3,IF(H28/30&gt;=0.5,2,IF(H28/30&gt;=0.35,1,0)))</f>
        <v>0</v>
      </c>
      <c r="U28" s="36" t="n">
        <f aca="false">IF(I28/30&gt;=0.7,3,IF(I28/30&gt;=0.5,2,IF(I28/30&gt;=0.35,1,0)))</f>
        <v>0</v>
      </c>
      <c r="V28" s="36"/>
      <c r="W28" s="36"/>
      <c r="X28" s="36"/>
      <c r="Y28" s="36"/>
      <c r="Z28" s="36" t="n">
        <f aca="false">G28+K28+L28+M28+N28+O28+P28</f>
        <v>0</v>
      </c>
      <c r="AA28" s="36" t="n">
        <f aca="false">IFERROR(AVERAGE(R28:U28),0)</f>
        <v>0</v>
      </c>
    </row>
    <row r="29" customFormat="false" ht="15" hidden="false" customHeight="true" outlineLevel="0" collapsed="false">
      <c r="A29" s="37" t="n">
        <v>16</v>
      </c>
      <c r="B29" s="37" t="n">
        <f aca="false">'Mid &amp; Assgn - A'!B32</f>
        <v>0</v>
      </c>
      <c r="C29" s="37" t="n">
        <f aca="false">'Mid &amp; Assgn - A'!C32</f>
        <v>0</v>
      </c>
      <c r="D29" s="38" t="n">
        <f aca="false">IFERROR(SUM('Mid &amp; Assgn - A'!D32:I32),0)</f>
        <v>0</v>
      </c>
      <c r="E29" s="38" t="n">
        <f aca="false">IFERROR(SUM('Mid &amp; Assgn - A'!J32:M32),0)</f>
        <v>0</v>
      </c>
      <c r="F29" s="38" t="n">
        <f aca="false">D29+E29</f>
        <v>0</v>
      </c>
      <c r="G29" s="38" t="n">
        <f aca="false">IFERROR(ROUND(F29/30*15,2),0)</f>
        <v>0</v>
      </c>
      <c r="H29" s="38" t="n">
        <f aca="false">IFERROR(SUM('Mid &amp; Assgn - A'!N32:S32),0)</f>
        <v>0</v>
      </c>
      <c r="I29" s="38" t="n">
        <f aca="false">IFERROR(SUM('Mid &amp; Assgn - A'!T32:Y32),0)</f>
        <v>0</v>
      </c>
      <c r="J29" s="38" t="n">
        <f aca="false">H29+I29</f>
        <v>0</v>
      </c>
      <c r="K29" s="38" t="n">
        <f aca="false">IFERROR(ROUND(J29/30*15,2),0)</f>
        <v>0</v>
      </c>
      <c r="L29" s="38" t="n">
        <f aca="false">'Mid &amp; Assgn - A'!Z32</f>
        <v>0</v>
      </c>
      <c r="M29" s="38" t="n">
        <f aca="false">'Mid &amp; Assgn - A'!AA32</f>
        <v>0</v>
      </c>
      <c r="N29" s="38" t="n">
        <f aca="false">'Mid &amp; Assgn - A'!AB32</f>
        <v>0</v>
      </c>
      <c r="O29" s="38" t="n">
        <f aca="false">'Mid &amp; Assgn - A'!AC32</f>
        <v>0</v>
      </c>
      <c r="P29" s="38" t="n">
        <f aca="false">'Mid &amp; Assgn - A'!AD32</f>
        <v>0</v>
      </c>
      <c r="Q29" s="38" t="n">
        <f aca="false">'Mid &amp; Assgn - A'!AE32</f>
        <v>0</v>
      </c>
      <c r="R29" s="38" t="n">
        <f aca="false">IF(D29/30&gt;=0.7,3,IF(D29/30&gt;=0.5,2,IF(D29/30&gt;=0.35,1,0)))</f>
        <v>0</v>
      </c>
      <c r="S29" s="38" t="n">
        <f aca="false">IF(E29/30&gt;=0.7,3,IF(E29/30&gt;=0.5,2,IF(E29/30&gt;=0.35,1,0)))</f>
        <v>0</v>
      </c>
      <c r="T29" s="38" t="n">
        <f aca="false">IF(H29/30&gt;=0.7,3,IF(H29/30&gt;=0.5,2,IF(H29/30&gt;=0.35,1,0)))</f>
        <v>0</v>
      </c>
      <c r="U29" s="38" t="n">
        <f aca="false">IF(I29/30&gt;=0.7,3,IF(I29/30&gt;=0.5,2,IF(I29/30&gt;=0.35,1,0)))</f>
        <v>0</v>
      </c>
      <c r="V29" s="38"/>
      <c r="W29" s="38"/>
      <c r="X29" s="38"/>
      <c r="Y29" s="38"/>
      <c r="Z29" s="38" t="n">
        <f aca="false">G29+K29+L29+M29+N29+O29+P29</f>
        <v>0</v>
      </c>
      <c r="AA29" s="38" t="n">
        <f aca="false">IFERROR(AVERAGE(R29:U29),0)</f>
        <v>0</v>
      </c>
    </row>
    <row r="30" customFormat="false" ht="15" hidden="false" customHeight="true" outlineLevel="0" collapsed="false">
      <c r="A30" s="35" t="n">
        <v>17</v>
      </c>
      <c r="B30" s="35" t="n">
        <f aca="false">'Mid &amp; Assgn - A'!B33</f>
        <v>0</v>
      </c>
      <c r="C30" s="35" t="n">
        <f aca="false">'Mid &amp; Assgn - A'!C33</f>
        <v>0</v>
      </c>
      <c r="D30" s="36" t="n">
        <f aca="false">IFERROR(SUM('Mid &amp; Assgn - A'!D33:I33),0)</f>
        <v>0</v>
      </c>
      <c r="E30" s="36" t="n">
        <f aca="false">IFERROR(SUM('Mid &amp; Assgn - A'!J33:M33),0)</f>
        <v>0</v>
      </c>
      <c r="F30" s="36" t="n">
        <f aca="false">D30+E30</f>
        <v>0</v>
      </c>
      <c r="G30" s="36" t="n">
        <f aca="false">IFERROR(ROUND(F30/30*15,2),0)</f>
        <v>0</v>
      </c>
      <c r="H30" s="36" t="n">
        <f aca="false">IFERROR(SUM('Mid &amp; Assgn - A'!N33:S33),0)</f>
        <v>0</v>
      </c>
      <c r="I30" s="36" t="n">
        <f aca="false">IFERROR(SUM('Mid &amp; Assgn - A'!T33:Y33),0)</f>
        <v>0</v>
      </c>
      <c r="J30" s="36" t="n">
        <f aca="false">H30+I30</f>
        <v>0</v>
      </c>
      <c r="K30" s="36" t="n">
        <f aca="false">IFERROR(ROUND(J30/30*15,2),0)</f>
        <v>0</v>
      </c>
      <c r="L30" s="36" t="n">
        <f aca="false">'Mid &amp; Assgn - A'!Z33</f>
        <v>0</v>
      </c>
      <c r="M30" s="36" t="n">
        <f aca="false">'Mid &amp; Assgn - A'!AA33</f>
        <v>0</v>
      </c>
      <c r="N30" s="36" t="n">
        <f aca="false">'Mid &amp; Assgn - A'!AB33</f>
        <v>0</v>
      </c>
      <c r="O30" s="36" t="n">
        <f aca="false">'Mid &amp; Assgn - A'!AC33</f>
        <v>0</v>
      </c>
      <c r="P30" s="36" t="n">
        <f aca="false">'Mid &amp; Assgn - A'!AD33</f>
        <v>0</v>
      </c>
      <c r="Q30" s="36" t="n">
        <f aca="false">'Mid &amp; Assgn - A'!AE33</f>
        <v>0</v>
      </c>
      <c r="R30" s="36" t="n">
        <f aca="false">IF(D30/30&gt;=0.7,3,IF(D30/30&gt;=0.5,2,IF(D30/30&gt;=0.35,1,0)))</f>
        <v>0</v>
      </c>
      <c r="S30" s="36" t="n">
        <f aca="false">IF(E30/30&gt;=0.7,3,IF(E30/30&gt;=0.5,2,IF(E30/30&gt;=0.35,1,0)))</f>
        <v>0</v>
      </c>
      <c r="T30" s="36" t="n">
        <f aca="false">IF(H30/30&gt;=0.7,3,IF(H30/30&gt;=0.5,2,IF(H30/30&gt;=0.35,1,0)))</f>
        <v>0</v>
      </c>
      <c r="U30" s="36" t="n">
        <f aca="false">IF(I30/30&gt;=0.7,3,IF(I30/30&gt;=0.5,2,IF(I30/30&gt;=0.35,1,0)))</f>
        <v>0</v>
      </c>
      <c r="V30" s="36"/>
      <c r="W30" s="36"/>
      <c r="X30" s="36"/>
      <c r="Y30" s="36"/>
      <c r="Z30" s="36" t="n">
        <f aca="false">G30+K30+L30+M30+N30+O30+P30</f>
        <v>0</v>
      </c>
      <c r="AA30" s="36" t="n">
        <f aca="false">IFERROR(AVERAGE(R30:U30),0)</f>
        <v>0</v>
      </c>
    </row>
    <row r="31" customFormat="false" ht="15" hidden="false" customHeight="true" outlineLevel="0" collapsed="false">
      <c r="A31" s="37" t="n">
        <v>18</v>
      </c>
      <c r="B31" s="37" t="n">
        <f aca="false">'Mid &amp; Assgn - A'!B34</f>
        <v>0</v>
      </c>
      <c r="C31" s="37" t="n">
        <f aca="false">'Mid &amp; Assgn - A'!C34</f>
        <v>0</v>
      </c>
      <c r="D31" s="38" t="n">
        <f aca="false">IFERROR(SUM('Mid &amp; Assgn - A'!D34:I34),0)</f>
        <v>0</v>
      </c>
      <c r="E31" s="38" t="n">
        <f aca="false">IFERROR(SUM('Mid &amp; Assgn - A'!J34:M34),0)</f>
        <v>0</v>
      </c>
      <c r="F31" s="38" t="n">
        <f aca="false">D31+E31</f>
        <v>0</v>
      </c>
      <c r="G31" s="38" t="n">
        <f aca="false">IFERROR(ROUND(F31/30*15,2),0)</f>
        <v>0</v>
      </c>
      <c r="H31" s="38" t="n">
        <f aca="false">IFERROR(SUM('Mid &amp; Assgn - A'!N34:S34),0)</f>
        <v>0</v>
      </c>
      <c r="I31" s="38" t="n">
        <f aca="false">IFERROR(SUM('Mid &amp; Assgn - A'!T34:Y34),0)</f>
        <v>0</v>
      </c>
      <c r="J31" s="38" t="n">
        <f aca="false">H31+I31</f>
        <v>0</v>
      </c>
      <c r="K31" s="38" t="n">
        <f aca="false">IFERROR(ROUND(J31/30*15,2),0)</f>
        <v>0</v>
      </c>
      <c r="L31" s="38" t="n">
        <f aca="false">'Mid &amp; Assgn - A'!Z34</f>
        <v>0</v>
      </c>
      <c r="M31" s="38" t="n">
        <f aca="false">'Mid &amp; Assgn - A'!AA34</f>
        <v>0</v>
      </c>
      <c r="N31" s="38" t="n">
        <f aca="false">'Mid &amp; Assgn - A'!AB34</f>
        <v>0</v>
      </c>
      <c r="O31" s="38" t="n">
        <f aca="false">'Mid &amp; Assgn - A'!AC34</f>
        <v>0</v>
      </c>
      <c r="P31" s="38" t="n">
        <f aca="false">'Mid &amp; Assgn - A'!AD34</f>
        <v>0</v>
      </c>
      <c r="Q31" s="38" t="n">
        <f aca="false">'Mid &amp; Assgn - A'!AE34</f>
        <v>0</v>
      </c>
      <c r="R31" s="38" t="n">
        <f aca="false">IF(D31/30&gt;=0.7,3,IF(D31/30&gt;=0.5,2,IF(D31/30&gt;=0.35,1,0)))</f>
        <v>0</v>
      </c>
      <c r="S31" s="38" t="n">
        <f aca="false">IF(E31/30&gt;=0.7,3,IF(E31/30&gt;=0.5,2,IF(E31/30&gt;=0.35,1,0)))</f>
        <v>0</v>
      </c>
      <c r="T31" s="38" t="n">
        <f aca="false">IF(H31/30&gt;=0.7,3,IF(H31/30&gt;=0.5,2,IF(H31/30&gt;=0.35,1,0)))</f>
        <v>0</v>
      </c>
      <c r="U31" s="38" t="n">
        <f aca="false">IF(I31/30&gt;=0.7,3,IF(I31/30&gt;=0.5,2,IF(I31/30&gt;=0.35,1,0)))</f>
        <v>0</v>
      </c>
      <c r="V31" s="38"/>
      <c r="W31" s="38"/>
      <c r="X31" s="38"/>
      <c r="Y31" s="38"/>
      <c r="Z31" s="38" t="n">
        <f aca="false">G31+K31+L31+M31+N31+O31+P31</f>
        <v>0</v>
      </c>
      <c r="AA31" s="38" t="n">
        <f aca="false">IFERROR(AVERAGE(R31:U31),0)</f>
        <v>0</v>
      </c>
    </row>
    <row r="32" customFormat="false" ht="15" hidden="false" customHeight="true" outlineLevel="0" collapsed="false">
      <c r="A32" s="35" t="n">
        <v>19</v>
      </c>
      <c r="B32" s="35" t="n">
        <f aca="false">'Mid &amp; Assgn - A'!B35</f>
        <v>0</v>
      </c>
      <c r="C32" s="35" t="n">
        <f aca="false">'Mid &amp; Assgn - A'!C35</f>
        <v>0</v>
      </c>
      <c r="D32" s="36" t="n">
        <f aca="false">IFERROR(SUM('Mid &amp; Assgn - A'!D35:I35),0)</f>
        <v>0</v>
      </c>
      <c r="E32" s="36" t="n">
        <f aca="false">IFERROR(SUM('Mid &amp; Assgn - A'!J35:M35),0)</f>
        <v>0</v>
      </c>
      <c r="F32" s="36" t="n">
        <f aca="false">D32+E32</f>
        <v>0</v>
      </c>
      <c r="G32" s="36" t="n">
        <f aca="false">IFERROR(ROUND(F32/30*15,2),0)</f>
        <v>0</v>
      </c>
      <c r="H32" s="36" t="n">
        <f aca="false">IFERROR(SUM('Mid &amp; Assgn - A'!N35:S35),0)</f>
        <v>0</v>
      </c>
      <c r="I32" s="36" t="n">
        <f aca="false">IFERROR(SUM('Mid &amp; Assgn - A'!T35:Y35),0)</f>
        <v>0</v>
      </c>
      <c r="J32" s="36" t="n">
        <f aca="false">H32+I32</f>
        <v>0</v>
      </c>
      <c r="K32" s="36" t="n">
        <f aca="false">IFERROR(ROUND(J32/30*15,2),0)</f>
        <v>0</v>
      </c>
      <c r="L32" s="36" t="n">
        <f aca="false">'Mid &amp; Assgn - A'!Z35</f>
        <v>0</v>
      </c>
      <c r="M32" s="36" t="n">
        <f aca="false">'Mid &amp; Assgn - A'!AA35</f>
        <v>0</v>
      </c>
      <c r="N32" s="36" t="n">
        <f aca="false">'Mid &amp; Assgn - A'!AB35</f>
        <v>0</v>
      </c>
      <c r="O32" s="36" t="n">
        <f aca="false">'Mid &amp; Assgn - A'!AC35</f>
        <v>0</v>
      </c>
      <c r="P32" s="36" t="n">
        <f aca="false">'Mid &amp; Assgn - A'!AD35</f>
        <v>0</v>
      </c>
      <c r="Q32" s="36" t="n">
        <f aca="false">'Mid &amp; Assgn - A'!AE35</f>
        <v>0</v>
      </c>
      <c r="R32" s="36" t="n">
        <f aca="false">IF(D32/30&gt;=0.7,3,IF(D32/30&gt;=0.5,2,IF(D32/30&gt;=0.35,1,0)))</f>
        <v>0</v>
      </c>
      <c r="S32" s="36" t="n">
        <f aca="false">IF(E32/30&gt;=0.7,3,IF(E32/30&gt;=0.5,2,IF(E32/30&gt;=0.35,1,0)))</f>
        <v>0</v>
      </c>
      <c r="T32" s="36" t="n">
        <f aca="false">IF(H32/30&gt;=0.7,3,IF(H32/30&gt;=0.5,2,IF(H32/30&gt;=0.35,1,0)))</f>
        <v>0</v>
      </c>
      <c r="U32" s="36" t="n">
        <f aca="false">IF(I32/30&gt;=0.7,3,IF(I32/30&gt;=0.5,2,IF(I32/30&gt;=0.35,1,0)))</f>
        <v>0</v>
      </c>
      <c r="V32" s="36"/>
      <c r="W32" s="36"/>
      <c r="X32" s="36"/>
      <c r="Y32" s="36"/>
      <c r="Z32" s="36" t="n">
        <f aca="false">G32+K32+L32+M32+N32+O32+P32</f>
        <v>0</v>
      </c>
      <c r="AA32" s="36" t="n">
        <f aca="false">IFERROR(AVERAGE(R32:U32),0)</f>
        <v>0</v>
      </c>
    </row>
    <row r="33" customFormat="false" ht="15" hidden="false" customHeight="true" outlineLevel="0" collapsed="false">
      <c r="A33" s="37" t="n">
        <v>20</v>
      </c>
      <c r="B33" s="37" t="n">
        <f aca="false">'Mid &amp; Assgn - A'!B36</f>
        <v>0</v>
      </c>
      <c r="C33" s="37" t="n">
        <f aca="false">'Mid &amp; Assgn - A'!C36</f>
        <v>0</v>
      </c>
      <c r="D33" s="38" t="n">
        <f aca="false">IFERROR(SUM('Mid &amp; Assgn - A'!D36:I36),0)</f>
        <v>0</v>
      </c>
      <c r="E33" s="38" t="n">
        <f aca="false">IFERROR(SUM('Mid &amp; Assgn - A'!J36:M36),0)</f>
        <v>0</v>
      </c>
      <c r="F33" s="38" t="n">
        <f aca="false">D33+E33</f>
        <v>0</v>
      </c>
      <c r="G33" s="38" t="n">
        <f aca="false">IFERROR(ROUND(F33/30*15,2),0)</f>
        <v>0</v>
      </c>
      <c r="H33" s="38" t="n">
        <f aca="false">IFERROR(SUM('Mid &amp; Assgn - A'!N36:S36),0)</f>
        <v>0</v>
      </c>
      <c r="I33" s="38" t="n">
        <f aca="false">IFERROR(SUM('Mid &amp; Assgn - A'!T36:Y36),0)</f>
        <v>0</v>
      </c>
      <c r="J33" s="38" t="n">
        <f aca="false">H33+I33</f>
        <v>0</v>
      </c>
      <c r="K33" s="38" t="n">
        <f aca="false">IFERROR(ROUND(J33/30*15,2),0)</f>
        <v>0</v>
      </c>
      <c r="L33" s="38" t="n">
        <f aca="false">'Mid &amp; Assgn - A'!Z36</f>
        <v>0</v>
      </c>
      <c r="M33" s="38" t="n">
        <f aca="false">'Mid &amp; Assgn - A'!AA36</f>
        <v>0</v>
      </c>
      <c r="N33" s="38" t="n">
        <f aca="false">'Mid &amp; Assgn - A'!AB36</f>
        <v>0</v>
      </c>
      <c r="O33" s="38" t="n">
        <f aca="false">'Mid &amp; Assgn - A'!AC36</f>
        <v>0</v>
      </c>
      <c r="P33" s="38" t="n">
        <f aca="false">'Mid &amp; Assgn - A'!AD36</f>
        <v>0</v>
      </c>
      <c r="Q33" s="38" t="n">
        <f aca="false">'Mid &amp; Assgn - A'!AE36</f>
        <v>0</v>
      </c>
      <c r="R33" s="38" t="n">
        <f aca="false">IF(D33/30&gt;=0.7,3,IF(D33/30&gt;=0.5,2,IF(D33/30&gt;=0.35,1,0)))</f>
        <v>0</v>
      </c>
      <c r="S33" s="38" t="n">
        <f aca="false">IF(E33/30&gt;=0.7,3,IF(E33/30&gt;=0.5,2,IF(E33/30&gt;=0.35,1,0)))</f>
        <v>0</v>
      </c>
      <c r="T33" s="38" t="n">
        <f aca="false">IF(H33/30&gt;=0.7,3,IF(H33/30&gt;=0.5,2,IF(H33/30&gt;=0.35,1,0)))</f>
        <v>0</v>
      </c>
      <c r="U33" s="38" t="n">
        <f aca="false">IF(I33/30&gt;=0.7,3,IF(I33/30&gt;=0.5,2,IF(I33/30&gt;=0.35,1,0)))</f>
        <v>0</v>
      </c>
      <c r="V33" s="38"/>
      <c r="W33" s="38"/>
      <c r="X33" s="38"/>
      <c r="Y33" s="38"/>
      <c r="Z33" s="38" t="n">
        <f aca="false">G33+K33+L33+M33+N33+O33+P33</f>
        <v>0</v>
      </c>
      <c r="AA33" s="38" t="n">
        <f aca="false">IFERROR(AVERAGE(R33:U33),0)</f>
        <v>0</v>
      </c>
    </row>
    <row r="34" customFormat="false" ht="15" hidden="false" customHeight="true" outlineLevel="0" collapsed="false">
      <c r="A34" s="35" t="n">
        <v>21</v>
      </c>
      <c r="B34" s="35" t="n">
        <f aca="false">'Mid &amp; Assgn - A'!B37</f>
        <v>0</v>
      </c>
      <c r="C34" s="35" t="n">
        <f aca="false">'Mid &amp; Assgn - A'!C37</f>
        <v>0</v>
      </c>
      <c r="D34" s="36" t="n">
        <f aca="false">IFERROR(SUM('Mid &amp; Assgn - A'!D37:I37),0)</f>
        <v>0</v>
      </c>
      <c r="E34" s="36" t="n">
        <f aca="false">IFERROR(SUM('Mid &amp; Assgn - A'!J37:M37),0)</f>
        <v>0</v>
      </c>
      <c r="F34" s="36" t="n">
        <f aca="false">D34+E34</f>
        <v>0</v>
      </c>
      <c r="G34" s="36" t="n">
        <f aca="false">IFERROR(ROUND(F34/30*15,2),0)</f>
        <v>0</v>
      </c>
      <c r="H34" s="36" t="n">
        <f aca="false">IFERROR(SUM('Mid &amp; Assgn - A'!N37:S37),0)</f>
        <v>0</v>
      </c>
      <c r="I34" s="36" t="n">
        <f aca="false">IFERROR(SUM('Mid &amp; Assgn - A'!T37:Y37),0)</f>
        <v>0</v>
      </c>
      <c r="J34" s="36" t="n">
        <f aca="false">H34+I34</f>
        <v>0</v>
      </c>
      <c r="K34" s="36" t="n">
        <f aca="false">IFERROR(ROUND(J34/30*15,2),0)</f>
        <v>0</v>
      </c>
      <c r="L34" s="36" t="n">
        <f aca="false">'Mid &amp; Assgn - A'!Z37</f>
        <v>0</v>
      </c>
      <c r="M34" s="36" t="n">
        <f aca="false">'Mid &amp; Assgn - A'!AA37</f>
        <v>0</v>
      </c>
      <c r="N34" s="36" t="n">
        <f aca="false">'Mid &amp; Assgn - A'!AB37</f>
        <v>0</v>
      </c>
      <c r="O34" s="36" t="n">
        <f aca="false">'Mid &amp; Assgn - A'!AC37</f>
        <v>0</v>
      </c>
      <c r="P34" s="36" t="n">
        <f aca="false">'Mid &amp; Assgn - A'!AD37</f>
        <v>0</v>
      </c>
      <c r="Q34" s="36" t="n">
        <f aca="false">'Mid &amp; Assgn - A'!AE37</f>
        <v>0</v>
      </c>
      <c r="R34" s="36" t="n">
        <f aca="false">IF(D34/30&gt;=0.7,3,IF(D34/30&gt;=0.5,2,IF(D34/30&gt;=0.35,1,0)))</f>
        <v>0</v>
      </c>
      <c r="S34" s="36" t="n">
        <f aca="false">IF(E34/30&gt;=0.7,3,IF(E34/30&gt;=0.5,2,IF(E34/30&gt;=0.35,1,0)))</f>
        <v>0</v>
      </c>
      <c r="T34" s="36" t="n">
        <f aca="false">IF(H34/30&gt;=0.7,3,IF(H34/30&gt;=0.5,2,IF(H34/30&gt;=0.35,1,0)))</f>
        <v>0</v>
      </c>
      <c r="U34" s="36" t="n">
        <f aca="false">IF(I34/30&gt;=0.7,3,IF(I34/30&gt;=0.5,2,IF(I34/30&gt;=0.35,1,0)))</f>
        <v>0</v>
      </c>
      <c r="V34" s="36"/>
      <c r="W34" s="36"/>
      <c r="X34" s="36"/>
      <c r="Y34" s="36"/>
      <c r="Z34" s="36" t="n">
        <f aca="false">G34+K34+L34+M34+N34+O34+P34</f>
        <v>0</v>
      </c>
      <c r="AA34" s="36" t="n">
        <f aca="false">IFERROR(AVERAGE(R34:U34),0)</f>
        <v>0</v>
      </c>
    </row>
    <row r="35" customFormat="false" ht="15" hidden="false" customHeight="true" outlineLevel="0" collapsed="false">
      <c r="A35" s="37" t="n">
        <v>22</v>
      </c>
      <c r="B35" s="37" t="n">
        <f aca="false">'Mid &amp; Assgn - A'!B38</f>
        <v>0</v>
      </c>
      <c r="C35" s="37" t="n">
        <f aca="false">'Mid &amp; Assgn - A'!C38</f>
        <v>0</v>
      </c>
      <c r="D35" s="38" t="n">
        <f aca="false">IFERROR(SUM('Mid &amp; Assgn - A'!D38:I38),0)</f>
        <v>0</v>
      </c>
      <c r="E35" s="38" t="n">
        <f aca="false">IFERROR(SUM('Mid &amp; Assgn - A'!J38:M38),0)</f>
        <v>0</v>
      </c>
      <c r="F35" s="38" t="n">
        <f aca="false">D35+E35</f>
        <v>0</v>
      </c>
      <c r="G35" s="38" t="n">
        <f aca="false">IFERROR(ROUND(F35/30*15,2),0)</f>
        <v>0</v>
      </c>
      <c r="H35" s="38" t="n">
        <f aca="false">IFERROR(SUM('Mid &amp; Assgn - A'!N38:S38),0)</f>
        <v>0</v>
      </c>
      <c r="I35" s="38" t="n">
        <f aca="false">IFERROR(SUM('Mid &amp; Assgn - A'!T38:Y38),0)</f>
        <v>0</v>
      </c>
      <c r="J35" s="38" t="n">
        <f aca="false">H35+I35</f>
        <v>0</v>
      </c>
      <c r="K35" s="38" t="n">
        <f aca="false">IFERROR(ROUND(J35/30*15,2),0)</f>
        <v>0</v>
      </c>
      <c r="L35" s="38" t="n">
        <f aca="false">'Mid &amp; Assgn - A'!Z38</f>
        <v>0</v>
      </c>
      <c r="M35" s="38" t="n">
        <f aca="false">'Mid &amp; Assgn - A'!AA38</f>
        <v>0</v>
      </c>
      <c r="N35" s="38" t="n">
        <f aca="false">'Mid &amp; Assgn - A'!AB38</f>
        <v>0</v>
      </c>
      <c r="O35" s="38" t="n">
        <f aca="false">'Mid &amp; Assgn - A'!AC38</f>
        <v>0</v>
      </c>
      <c r="P35" s="38" t="n">
        <f aca="false">'Mid &amp; Assgn - A'!AD38</f>
        <v>0</v>
      </c>
      <c r="Q35" s="38" t="n">
        <f aca="false">'Mid &amp; Assgn - A'!AE38</f>
        <v>0</v>
      </c>
      <c r="R35" s="38" t="n">
        <f aca="false">IF(D35/30&gt;=0.7,3,IF(D35/30&gt;=0.5,2,IF(D35/30&gt;=0.35,1,0)))</f>
        <v>0</v>
      </c>
      <c r="S35" s="38" t="n">
        <f aca="false">IF(E35/30&gt;=0.7,3,IF(E35/30&gt;=0.5,2,IF(E35/30&gt;=0.35,1,0)))</f>
        <v>0</v>
      </c>
      <c r="T35" s="38" t="n">
        <f aca="false">IF(H35/30&gt;=0.7,3,IF(H35/30&gt;=0.5,2,IF(H35/30&gt;=0.35,1,0)))</f>
        <v>0</v>
      </c>
      <c r="U35" s="38" t="n">
        <f aca="false">IF(I35/30&gt;=0.7,3,IF(I35/30&gt;=0.5,2,IF(I35/30&gt;=0.35,1,0)))</f>
        <v>0</v>
      </c>
      <c r="V35" s="38"/>
      <c r="W35" s="38"/>
      <c r="X35" s="38"/>
      <c r="Y35" s="38"/>
      <c r="Z35" s="38" t="n">
        <f aca="false">G35+K35+L35+M35+N35+O35+P35</f>
        <v>0</v>
      </c>
      <c r="AA35" s="38" t="n">
        <f aca="false">IFERROR(AVERAGE(R35:U35),0)</f>
        <v>0</v>
      </c>
    </row>
    <row r="36" customFormat="false" ht="15" hidden="false" customHeight="true" outlineLevel="0" collapsed="false">
      <c r="A36" s="35" t="n">
        <v>23</v>
      </c>
      <c r="B36" s="35" t="n">
        <f aca="false">'Mid &amp; Assgn - A'!B39</f>
        <v>0</v>
      </c>
      <c r="C36" s="35" t="n">
        <f aca="false">'Mid &amp; Assgn - A'!C39</f>
        <v>0</v>
      </c>
      <c r="D36" s="36" t="n">
        <f aca="false">IFERROR(SUM('Mid &amp; Assgn - A'!D39:I39),0)</f>
        <v>0</v>
      </c>
      <c r="E36" s="36" t="n">
        <f aca="false">IFERROR(SUM('Mid &amp; Assgn - A'!J39:M39),0)</f>
        <v>0</v>
      </c>
      <c r="F36" s="36" t="n">
        <f aca="false">D36+E36</f>
        <v>0</v>
      </c>
      <c r="G36" s="36" t="n">
        <f aca="false">IFERROR(ROUND(F36/30*15,2),0)</f>
        <v>0</v>
      </c>
      <c r="H36" s="36" t="n">
        <f aca="false">IFERROR(SUM('Mid &amp; Assgn - A'!N39:S39),0)</f>
        <v>0</v>
      </c>
      <c r="I36" s="36" t="n">
        <f aca="false">IFERROR(SUM('Mid &amp; Assgn - A'!T39:Y39),0)</f>
        <v>0</v>
      </c>
      <c r="J36" s="36" t="n">
        <f aca="false">H36+I36</f>
        <v>0</v>
      </c>
      <c r="K36" s="36" t="n">
        <f aca="false">IFERROR(ROUND(J36/30*15,2),0)</f>
        <v>0</v>
      </c>
      <c r="L36" s="36" t="n">
        <f aca="false">'Mid &amp; Assgn - A'!Z39</f>
        <v>0</v>
      </c>
      <c r="M36" s="36" t="n">
        <f aca="false">'Mid &amp; Assgn - A'!AA39</f>
        <v>0</v>
      </c>
      <c r="N36" s="36" t="n">
        <f aca="false">'Mid &amp; Assgn - A'!AB39</f>
        <v>0</v>
      </c>
      <c r="O36" s="36" t="n">
        <f aca="false">'Mid &amp; Assgn - A'!AC39</f>
        <v>0</v>
      </c>
      <c r="P36" s="36" t="n">
        <f aca="false">'Mid &amp; Assgn - A'!AD39</f>
        <v>0</v>
      </c>
      <c r="Q36" s="36" t="n">
        <f aca="false">'Mid &amp; Assgn - A'!AE39</f>
        <v>0</v>
      </c>
      <c r="R36" s="36" t="n">
        <f aca="false">IF(D36/30&gt;=0.7,3,IF(D36/30&gt;=0.5,2,IF(D36/30&gt;=0.35,1,0)))</f>
        <v>0</v>
      </c>
      <c r="S36" s="36" t="n">
        <f aca="false">IF(E36/30&gt;=0.7,3,IF(E36/30&gt;=0.5,2,IF(E36/30&gt;=0.35,1,0)))</f>
        <v>0</v>
      </c>
      <c r="T36" s="36" t="n">
        <f aca="false">IF(H36/30&gt;=0.7,3,IF(H36/30&gt;=0.5,2,IF(H36/30&gt;=0.35,1,0)))</f>
        <v>0</v>
      </c>
      <c r="U36" s="36" t="n">
        <f aca="false">IF(I36/30&gt;=0.7,3,IF(I36/30&gt;=0.5,2,IF(I36/30&gt;=0.35,1,0)))</f>
        <v>0</v>
      </c>
      <c r="V36" s="36"/>
      <c r="W36" s="36"/>
      <c r="X36" s="36"/>
      <c r="Y36" s="36"/>
      <c r="Z36" s="36" t="n">
        <f aca="false">G36+K36+L36+M36+N36+O36+P36</f>
        <v>0</v>
      </c>
      <c r="AA36" s="36" t="n">
        <f aca="false">IFERROR(AVERAGE(R36:U36),0)</f>
        <v>0</v>
      </c>
    </row>
    <row r="37" customFormat="false" ht="15" hidden="false" customHeight="true" outlineLevel="0" collapsed="false">
      <c r="A37" s="37" t="n">
        <v>24</v>
      </c>
      <c r="B37" s="37" t="n">
        <f aca="false">'Mid &amp; Assgn - A'!B40</f>
        <v>0</v>
      </c>
      <c r="C37" s="37" t="n">
        <f aca="false">'Mid &amp; Assgn - A'!C40</f>
        <v>0</v>
      </c>
      <c r="D37" s="38" t="n">
        <f aca="false">IFERROR(SUM('Mid &amp; Assgn - A'!D40:I40),0)</f>
        <v>0</v>
      </c>
      <c r="E37" s="38" t="n">
        <f aca="false">IFERROR(SUM('Mid &amp; Assgn - A'!J40:M40),0)</f>
        <v>0</v>
      </c>
      <c r="F37" s="38" t="n">
        <f aca="false">D37+E37</f>
        <v>0</v>
      </c>
      <c r="G37" s="38" t="n">
        <f aca="false">IFERROR(ROUND(F37/30*15,2),0)</f>
        <v>0</v>
      </c>
      <c r="H37" s="38" t="n">
        <f aca="false">IFERROR(SUM('Mid &amp; Assgn - A'!N40:S40),0)</f>
        <v>0</v>
      </c>
      <c r="I37" s="38" t="n">
        <f aca="false">IFERROR(SUM('Mid &amp; Assgn - A'!T40:Y40),0)</f>
        <v>0</v>
      </c>
      <c r="J37" s="38" t="n">
        <f aca="false">H37+I37</f>
        <v>0</v>
      </c>
      <c r="K37" s="38" t="n">
        <f aca="false">IFERROR(ROUND(J37/30*15,2),0)</f>
        <v>0</v>
      </c>
      <c r="L37" s="38" t="n">
        <f aca="false">'Mid &amp; Assgn - A'!Z40</f>
        <v>0</v>
      </c>
      <c r="M37" s="38" t="n">
        <f aca="false">'Mid &amp; Assgn - A'!AA40</f>
        <v>0</v>
      </c>
      <c r="N37" s="38" t="n">
        <f aca="false">'Mid &amp; Assgn - A'!AB40</f>
        <v>0</v>
      </c>
      <c r="O37" s="38" t="n">
        <f aca="false">'Mid &amp; Assgn - A'!AC40</f>
        <v>0</v>
      </c>
      <c r="P37" s="38" t="n">
        <f aca="false">'Mid &amp; Assgn - A'!AD40</f>
        <v>0</v>
      </c>
      <c r="Q37" s="38" t="n">
        <f aca="false">'Mid &amp; Assgn - A'!AE40</f>
        <v>0</v>
      </c>
      <c r="R37" s="38" t="n">
        <f aca="false">IF(D37/30&gt;=0.7,3,IF(D37/30&gt;=0.5,2,IF(D37/30&gt;=0.35,1,0)))</f>
        <v>0</v>
      </c>
      <c r="S37" s="38" t="n">
        <f aca="false">IF(E37/30&gt;=0.7,3,IF(E37/30&gt;=0.5,2,IF(E37/30&gt;=0.35,1,0)))</f>
        <v>0</v>
      </c>
      <c r="T37" s="38" t="n">
        <f aca="false">IF(H37/30&gt;=0.7,3,IF(H37/30&gt;=0.5,2,IF(H37/30&gt;=0.35,1,0)))</f>
        <v>0</v>
      </c>
      <c r="U37" s="38" t="n">
        <f aca="false">IF(I37/30&gt;=0.7,3,IF(I37/30&gt;=0.5,2,IF(I37/30&gt;=0.35,1,0)))</f>
        <v>0</v>
      </c>
      <c r="V37" s="38"/>
      <c r="W37" s="38"/>
      <c r="X37" s="38"/>
      <c r="Y37" s="38"/>
      <c r="Z37" s="38" t="n">
        <f aca="false">G37+K37+L37+M37+N37+O37+P37</f>
        <v>0</v>
      </c>
      <c r="AA37" s="38" t="n">
        <f aca="false">IFERROR(AVERAGE(R37:U37),0)</f>
        <v>0</v>
      </c>
    </row>
    <row r="38" customFormat="false" ht="15" hidden="false" customHeight="true" outlineLevel="0" collapsed="false">
      <c r="A38" s="35" t="n">
        <v>25</v>
      </c>
      <c r="B38" s="35" t="n">
        <f aca="false">'Mid &amp; Assgn - A'!B41</f>
        <v>0</v>
      </c>
      <c r="C38" s="35" t="n">
        <f aca="false">'Mid &amp; Assgn - A'!C41</f>
        <v>0</v>
      </c>
      <c r="D38" s="36" t="n">
        <f aca="false">IFERROR(SUM('Mid &amp; Assgn - A'!D41:I41),0)</f>
        <v>0</v>
      </c>
      <c r="E38" s="36" t="n">
        <f aca="false">IFERROR(SUM('Mid &amp; Assgn - A'!J41:M41),0)</f>
        <v>0</v>
      </c>
      <c r="F38" s="36" t="n">
        <f aca="false">D38+E38</f>
        <v>0</v>
      </c>
      <c r="G38" s="36" t="n">
        <f aca="false">IFERROR(ROUND(F38/30*15,2),0)</f>
        <v>0</v>
      </c>
      <c r="H38" s="36" t="n">
        <f aca="false">IFERROR(SUM('Mid &amp; Assgn - A'!N41:S41),0)</f>
        <v>0</v>
      </c>
      <c r="I38" s="36" t="n">
        <f aca="false">IFERROR(SUM('Mid &amp; Assgn - A'!T41:Y41),0)</f>
        <v>0</v>
      </c>
      <c r="J38" s="36" t="n">
        <f aca="false">H38+I38</f>
        <v>0</v>
      </c>
      <c r="K38" s="36" t="n">
        <f aca="false">IFERROR(ROUND(J38/30*15,2),0)</f>
        <v>0</v>
      </c>
      <c r="L38" s="36" t="n">
        <f aca="false">'Mid &amp; Assgn - A'!Z41</f>
        <v>0</v>
      </c>
      <c r="M38" s="36" t="n">
        <f aca="false">'Mid &amp; Assgn - A'!AA41</f>
        <v>0</v>
      </c>
      <c r="N38" s="36" t="n">
        <f aca="false">'Mid &amp; Assgn - A'!AB41</f>
        <v>0</v>
      </c>
      <c r="O38" s="36" t="n">
        <f aca="false">'Mid &amp; Assgn - A'!AC41</f>
        <v>0</v>
      </c>
      <c r="P38" s="36" t="n">
        <f aca="false">'Mid &amp; Assgn - A'!AD41</f>
        <v>0</v>
      </c>
      <c r="Q38" s="36" t="n">
        <f aca="false">'Mid &amp; Assgn - A'!AE41</f>
        <v>0</v>
      </c>
      <c r="R38" s="36" t="n">
        <f aca="false">IF(D38/30&gt;=0.7,3,IF(D38/30&gt;=0.5,2,IF(D38/30&gt;=0.35,1,0)))</f>
        <v>0</v>
      </c>
      <c r="S38" s="36" t="n">
        <f aca="false">IF(E38/30&gt;=0.7,3,IF(E38/30&gt;=0.5,2,IF(E38/30&gt;=0.35,1,0)))</f>
        <v>0</v>
      </c>
      <c r="T38" s="36" t="n">
        <f aca="false">IF(H38/30&gt;=0.7,3,IF(H38/30&gt;=0.5,2,IF(H38/30&gt;=0.35,1,0)))</f>
        <v>0</v>
      </c>
      <c r="U38" s="36" t="n">
        <f aca="false">IF(I38/30&gt;=0.7,3,IF(I38/30&gt;=0.5,2,IF(I38/30&gt;=0.35,1,0)))</f>
        <v>0</v>
      </c>
      <c r="V38" s="36"/>
      <c r="W38" s="36"/>
      <c r="X38" s="36"/>
      <c r="Y38" s="36"/>
      <c r="Z38" s="36" t="n">
        <f aca="false">G38+K38+L38+M38+N38+O38+P38</f>
        <v>0</v>
      </c>
      <c r="AA38" s="36" t="n">
        <f aca="false">IFERROR(AVERAGE(R38:U38),0)</f>
        <v>0</v>
      </c>
    </row>
    <row r="39" customFormat="false" ht="15" hidden="false" customHeight="true" outlineLevel="0" collapsed="false">
      <c r="A39" s="37" t="n">
        <v>26</v>
      </c>
      <c r="B39" s="37" t="n">
        <f aca="false">'Mid &amp; Assgn - A'!B42</f>
        <v>0</v>
      </c>
      <c r="C39" s="37" t="n">
        <f aca="false">'Mid &amp; Assgn - A'!C42</f>
        <v>0</v>
      </c>
      <c r="D39" s="38" t="n">
        <f aca="false">IFERROR(SUM('Mid &amp; Assgn - A'!D42:I42),0)</f>
        <v>0</v>
      </c>
      <c r="E39" s="38" t="n">
        <f aca="false">IFERROR(SUM('Mid &amp; Assgn - A'!J42:M42),0)</f>
        <v>0</v>
      </c>
      <c r="F39" s="38" t="n">
        <f aca="false">D39+E39</f>
        <v>0</v>
      </c>
      <c r="G39" s="38" t="n">
        <f aca="false">IFERROR(ROUND(F39/30*15,2),0)</f>
        <v>0</v>
      </c>
      <c r="H39" s="38" t="n">
        <f aca="false">IFERROR(SUM('Mid &amp; Assgn - A'!N42:S42),0)</f>
        <v>0</v>
      </c>
      <c r="I39" s="38" t="n">
        <f aca="false">IFERROR(SUM('Mid &amp; Assgn - A'!T42:Y42),0)</f>
        <v>0</v>
      </c>
      <c r="J39" s="38" t="n">
        <f aca="false">H39+I39</f>
        <v>0</v>
      </c>
      <c r="K39" s="38" t="n">
        <f aca="false">IFERROR(ROUND(J39/30*15,2),0)</f>
        <v>0</v>
      </c>
      <c r="L39" s="38" t="n">
        <f aca="false">'Mid &amp; Assgn - A'!Z42</f>
        <v>0</v>
      </c>
      <c r="M39" s="38" t="n">
        <f aca="false">'Mid &amp; Assgn - A'!AA42</f>
        <v>0</v>
      </c>
      <c r="N39" s="38" t="n">
        <f aca="false">'Mid &amp; Assgn - A'!AB42</f>
        <v>0</v>
      </c>
      <c r="O39" s="38" t="n">
        <f aca="false">'Mid &amp; Assgn - A'!AC42</f>
        <v>0</v>
      </c>
      <c r="P39" s="38" t="n">
        <f aca="false">'Mid &amp; Assgn - A'!AD42</f>
        <v>0</v>
      </c>
      <c r="Q39" s="38" t="n">
        <f aca="false">'Mid &amp; Assgn - A'!AE42</f>
        <v>0</v>
      </c>
      <c r="R39" s="38" t="n">
        <f aca="false">IF(D39/30&gt;=0.7,3,IF(D39/30&gt;=0.5,2,IF(D39/30&gt;=0.35,1,0)))</f>
        <v>0</v>
      </c>
      <c r="S39" s="38" t="n">
        <f aca="false">IF(E39/30&gt;=0.7,3,IF(E39/30&gt;=0.5,2,IF(E39/30&gt;=0.35,1,0)))</f>
        <v>0</v>
      </c>
      <c r="T39" s="38" t="n">
        <f aca="false">IF(H39/30&gt;=0.7,3,IF(H39/30&gt;=0.5,2,IF(H39/30&gt;=0.35,1,0)))</f>
        <v>0</v>
      </c>
      <c r="U39" s="38" t="n">
        <f aca="false">IF(I39/30&gt;=0.7,3,IF(I39/30&gt;=0.5,2,IF(I39/30&gt;=0.35,1,0)))</f>
        <v>0</v>
      </c>
      <c r="V39" s="38"/>
      <c r="W39" s="38"/>
      <c r="X39" s="38"/>
      <c r="Y39" s="38"/>
      <c r="Z39" s="38" t="n">
        <f aca="false">G39+K39+L39+M39+N39+O39+P39</f>
        <v>0</v>
      </c>
      <c r="AA39" s="38" t="n">
        <f aca="false">IFERROR(AVERAGE(R39:U39),0)</f>
        <v>0</v>
      </c>
    </row>
    <row r="40" customFormat="false" ht="15" hidden="false" customHeight="true" outlineLevel="0" collapsed="false">
      <c r="A40" s="35" t="n">
        <v>27</v>
      </c>
      <c r="B40" s="35" t="n">
        <f aca="false">'Mid &amp; Assgn - A'!B43</f>
        <v>0</v>
      </c>
      <c r="C40" s="35" t="n">
        <f aca="false">'Mid &amp; Assgn - A'!C43</f>
        <v>0</v>
      </c>
      <c r="D40" s="36" t="n">
        <f aca="false">IFERROR(SUM('Mid &amp; Assgn - A'!D43:I43),0)</f>
        <v>0</v>
      </c>
      <c r="E40" s="36" t="n">
        <f aca="false">IFERROR(SUM('Mid &amp; Assgn - A'!J43:M43),0)</f>
        <v>0</v>
      </c>
      <c r="F40" s="36" t="n">
        <f aca="false">D40+E40</f>
        <v>0</v>
      </c>
      <c r="G40" s="36" t="n">
        <f aca="false">IFERROR(ROUND(F40/30*15,2),0)</f>
        <v>0</v>
      </c>
      <c r="H40" s="36" t="n">
        <f aca="false">IFERROR(SUM('Mid &amp; Assgn - A'!N43:S43),0)</f>
        <v>0</v>
      </c>
      <c r="I40" s="36" t="n">
        <f aca="false">IFERROR(SUM('Mid &amp; Assgn - A'!T43:Y43),0)</f>
        <v>0</v>
      </c>
      <c r="J40" s="36" t="n">
        <f aca="false">H40+I40</f>
        <v>0</v>
      </c>
      <c r="K40" s="36" t="n">
        <f aca="false">IFERROR(ROUND(J40/30*15,2),0)</f>
        <v>0</v>
      </c>
      <c r="L40" s="36" t="n">
        <f aca="false">'Mid &amp; Assgn - A'!Z43</f>
        <v>0</v>
      </c>
      <c r="M40" s="36" t="n">
        <f aca="false">'Mid &amp; Assgn - A'!AA43</f>
        <v>0</v>
      </c>
      <c r="N40" s="36" t="n">
        <f aca="false">'Mid &amp; Assgn - A'!AB43</f>
        <v>0</v>
      </c>
      <c r="O40" s="36" t="n">
        <f aca="false">'Mid &amp; Assgn - A'!AC43</f>
        <v>0</v>
      </c>
      <c r="P40" s="36" t="n">
        <f aca="false">'Mid &amp; Assgn - A'!AD43</f>
        <v>0</v>
      </c>
      <c r="Q40" s="36" t="n">
        <f aca="false">'Mid &amp; Assgn - A'!AE43</f>
        <v>0</v>
      </c>
      <c r="R40" s="36" t="n">
        <f aca="false">IF(D40/30&gt;=0.7,3,IF(D40/30&gt;=0.5,2,IF(D40/30&gt;=0.35,1,0)))</f>
        <v>0</v>
      </c>
      <c r="S40" s="36" t="n">
        <f aca="false">IF(E40/30&gt;=0.7,3,IF(E40/30&gt;=0.5,2,IF(E40/30&gt;=0.35,1,0)))</f>
        <v>0</v>
      </c>
      <c r="T40" s="36" t="n">
        <f aca="false">IF(H40/30&gt;=0.7,3,IF(H40/30&gt;=0.5,2,IF(H40/30&gt;=0.35,1,0)))</f>
        <v>0</v>
      </c>
      <c r="U40" s="36" t="n">
        <f aca="false">IF(I40/30&gt;=0.7,3,IF(I40/30&gt;=0.5,2,IF(I40/30&gt;=0.35,1,0)))</f>
        <v>0</v>
      </c>
      <c r="V40" s="36"/>
      <c r="W40" s="36"/>
      <c r="X40" s="36"/>
      <c r="Y40" s="36"/>
      <c r="Z40" s="36" t="n">
        <f aca="false">G40+K40+L40+M40+N40+O40+P40</f>
        <v>0</v>
      </c>
      <c r="AA40" s="36" t="n">
        <f aca="false">IFERROR(AVERAGE(R40:U40),0)</f>
        <v>0</v>
      </c>
    </row>
    <row r="41" customFormat="false" ht="15" hidden="false" customHeight="true" outlineLevel="0" collapsed="false">
      <c r="A41" s="37" t="n">
        <v>28</v>
      </c>
      <c r="B41" s="37" t="n">
        <f aca="false">'Mid &amp; Assgn - A'!B44</f>
        <v>0</v>
      </c>
      <c r="C41" s="37" t="n">
        <f aca="false">'Mid &amp; Assgn - A'!C44</f>
        <v>0</v>
      </c>
      <c r="D41" s="38" t="n">
        <f aca="false">IFERROR(SUM('Mid &amp; Assgn - A'!D44:I44),0)</f>
        <v>0</v>
      </c>
      <c r="E41" s="38" t="n">
        <f aca="false">IFERROR(SUM('Mid &amp; Assgn - A'!J44:M44),0)</f>
        <v>0</v>
      </c>
      <c r="F41" s="38" t="n">
        <f aca="false">D41+E41</f>
        <v>0</v>
      </c>
      <c r="G41" s="38" t="n">
        <f aca="false">IFERROR(ROUND(F41/30*15,2),0)</f>
        <v>0</v>
      </c>
      <c r="H41" s="38" t="n">
        <f aca="false">IFERROR(SUM('Mid &amp; Assgn - A'!N44:S44),0)</f>
        <v>0</v>
      </c>
      <c r="I41" s="38" t="n">
        <f aca="false">IFERROR(SUM('Mid &amp; Assgn - A'!T44:Y44),0)</f>
        <v>0</v>
      </c>
      <c r="J41" s="38" t="n">
        <f aca="false">H41+I41</f>
        <v>0</v>
      </c>
      <c r="K41" s="38" t="n">
        <f aca="false">IFERROR(ROUND(J41/30*15,2),0)</f>
        <v>0</v>
      </c>
      <c r="L41" s="38" t="n">
        <f aca="false">'Mid &amp; Assgn - A'!Z44</f>
        <v>0</v>
      </c>
      <c r="M41" s="38" t="n">
        <f aca="false">'Mid &amp; Assgn - A'!AA44</f>
        <v>0</v>
      </c>
      <c r="N41" s="38" t="n">
        <f aca="false">'Mid &amp; Assgn - A'!AB44</f>
        <v>0</v>
      </c>
      <c r="O41" s="38" t="n">
        <f aca="false">'Mid &amp; Assgn - A'!AC44</f>
        <v>0</v>
      </c>
      <c r="P41" s="38" t="n">
        <f aca="false">'Mid &amp; Assgn - A'!AD44</f>
        <v>0</v>
      </c>
      <c r="Q41" s="38" t="n">
        <f aca="false">'Mid &amp; Assgn - A'!AE44</f>
        <v>0</v>
      </c>
      <c r="R41" s="38" t="n">
        <f aca="false">IF(D41/30&gt;=0.7,3,IF(D41/30&gt;=0.5,2,IF(D41/30&gt;=0.35,1,0)))</f>
        <v>0</v>
      </c>
      <c r="S41" s="38" t="n">
        <f aca="false">IF(E41/30&gt;=0.7,3,IF(E41/30&gt;=0.5,2,IF(E41/30&gt;=0.35,1,0)))</f>
        <v>0</v>
      </c>
      <c r="T41" s="38" t="n">
        <f aca="false">IF(H41/30&gt;=0.7,3,IF(H41/30&gt;=0.5,2,IF(H41/30&gt;=0.35,1,0)))</f>
        <v>0</v>
      </c>
      <c r="U41" s="38" t="n">
        <f aca="false">IF(I41/30&gt;=0.7,3,IF(I41/30&gt;=0.5,2,IF(I41/30&gt;=0.35,1,0)))</f>
        <v>0</v>
      </c>
      <c r="V41" s="38"/>
      <c r="W41" s="38"/>
      <c r="X41" s="38"/>
      <c r="Y41" s="38"/>
      <c r="Z41" s="38" t="n">
        <f aca="false">G41+K41+L41+M41+N41+O41+P41</f>
        <v>0</v>
      </c>
      <c r="AA41" s="38" t="n">
        <f aca="false">IFERROR(AVERAGE(R41:U41),0)</f>
        <v>0</v>
      </c>
    </row>
    <row r="42" customFormat="false" ht="15" hidden="false" customHeight="true" outlineLevel="0" collapsed="false">
      <c r="A42" s="35" t="n">
        <v>29</v>
      </c>
      <c r="B42" s="35" t="n">
        <f aca="false">'Mid &amp; Assgn - A'!B45</f>
        <v>0</v>
      </c>
      <c r="C42" s="35" t="n">
        <f aca="false">'Mid &amp; Assgn - A'!C45</f>
        <v>0</v>
      </c>
      <c r="D42" s="36" t="n">
        <f aca="false">IFERROR(SUM('Mid &amp; Assgn - A'!D45:I45),0)</f>
        <v>0</v>
      </c>
      <c r="E42" s="36" t="n">
        <f aca="false">IFERROR(SUM('Mid &amp; Assgn - A'!J45:M45),0)</f>
        <v>0</v>
      </c>
      <c r="F42" s="36" t="n">
        <f aca="false">D42+E42</f>
        <v>0</v>
      </c>
      <c r="G42" s="36" t="n">
        <f aca="false">IFERROR(ROUND(F42/30*15,2),0)</f>
        <v>0</v>
      </c>
      <c r="H42" s="36" t="n">
        <f aca="false">IFERROR(SUM('Mid &amp; Assgn - A'!N45:S45),0)</f>
        <v>0</v>
      </c>
      <c r="I42" s="36" t="n">
        <f aca="false">IFERROR(SUM('Mid &amp; Assgn - A'!T45:Y45),0)</f>
        <v>0</v>
      </c>
      <c r="J42" s="36" t="n">
        <f aca="false">H42+I42</f>
        <v>0</v>
      </c>
      <c r="K42" s="36" t="n">
        <f aca="false">IFERROR(ROUND(J42/30*15,2),0)</f>
        <v>0</v>
      </c>
      <c r="L42" s="36" t="n">
        <f aca="false">'Mid &amp; Assgn - A'!Z45</f>
        <v>0</v>
      </c>
      <c r="M42" s="36" t="n">
        <f aca="false">'Mid &amp; Assgn - A'!AA45</f>
        <v>0</v>
      </c>
      <c r="N42" s="36" t="n">
        <f aca="false">'Mid &amp; Assgn - A'!AB45</f>
        <v>0</v>
      </c>
      <c r="O42" s="36" t="n">
        <f aca="false">'Mid &amp; Assgn - A'!AC45</f>
        <v>0</v>
      </c>
      <c r="P42" s="36" t="n">
        <f aca="false">'Mid &amp; Assgn - A'!AD45</f>
        <v>0</v>
      </c>
      <c r="Q42" s="36" t="n">
        <f aca="false">'Mid &amp; Assgn - A'!AE45</f>
        <v>0</v>
      </c>
      <c r="R42" s="36" t="n">
        <f aca="false">IF(D42/30&gt;=0.7,3,IF(D42/30&gt;=0.5,2,IF(D42/30&gt;=0.35,1,0)))</f>
        <v>0</v>
      </c>
      <c r="S42" s="36" t="n">
        <f aca="false">IF(E42/30&gt;=0.7,3,IF(E42/30&gt;=0.5,2,IF(E42/30&gt;=0.35,1,0)))</f>
        <v>0</v>
      </c>
      <c r="T42" s="36" t="n">
        <f aca="false">IF(H42/30&gt;=0.7,3,IF(H42/30&gt;=0.5,2,IF(H42/30&gt;=0.35,1,0)))</f>
        <v>0</v>
      </c>
      <c r="U42" s="36" t="n">
        <f aca="false">IF(I42/30&gt;=0.7,3,IF(I42/30&gt;=0.5,2,IF(I42/30&gt;=0.35,1,0)))</f>
        <v>0</v>
      </c>
      <c r="V42" s="36"/>
      <c r="W42" s="36"/>
      <c r="X42" s="36"/>
      <c r="Y42" s="36"/>
      <c r="Z42" s="36" t="n">
        <f aca="false">G42+K42+L42+M42+N42+O42+P42</f>
        <v>0</v>
      </c>
      <c r="AA42" s="36" t="n">
        <f aca="false">IFERROR(AVERAGE(R42:U42),0)</f>
        <v>0</v>
      </c>
    </row>
    <row r="43" customFormat="false" ht="15" hidden="false" customHeight="true" outlineLevel="0" collapsed="false">
      <c r="A43" s="37" t="n">
        <v>30</v>
      </c>
      <c r="B43" s="37" t="n">
        <f aca="false">'Mid &amp; Assgn - A'!B46</f>
        <v>0</v>
      </c>
      <c r="C43" s="37" t="n">
        <f aca="false">'Mid &amp; Assgn - A'!C46</f>
        <v>0</v>
      </c>
      <c r="D43" s="38" t="n">
        <f aca="false">IFERROR(SUM('Mid &amp; Assgn - A'!D46:I46),0)</f>
        <v>0</v>
      </c>
      <c r="E43" s="38" t="n">
        <f aca="false">IFERROR(SUM('Mid &amp; Assgn - A'!J46:M46),0)</f>
        <v>0</v>
      </c>
      <c r="F43" s="38" t="n">
        <f aca="false">D43+E43</f>
        <v>0</v>
      </c>
      <c r="G43" s="38" t="n">
        <f aca="false">IFERROR(ROUND(F43/30*15,2),0)</f>
        <v>0</v>
      </c>
      <c r="H43" s="38" t="n">
        <f aca="false">IFERROR(SUM('Mid &amp; Assgn - A'!N46:S46),0)</f>
        <v>0</v>
      </c>
      <c r="I43" s="38" t="n">
        <f aca="false">IFERROR(SUM('Mid &amp; Assgn - A'!T46:Y46),0)</f>
        <v>0</v>
      </c>
      <c r="J43" s="38" t="n">
        <f aca="false">H43+I43</f>
        <v>0</v>
      </c>
      <c r="K43" s="38" t="n">
        <f aca="false">IFERROR(ROUND(J43/30*15,2),0)</f>
        <v>0</v>
      </c>
      <c r="L43" s="38" t="n">
        <f aca="false">'Mid &amp; Assgn - A'!Z46</f>
        <v>0</v>
      </c>
      <c r="M43" s="38" t="n">
        <f aca="false">'Mid &amp; Assgn - A'!AA46</f>
        <v>0</v>
      </c>
      <c r="N43" s="38" t="n">
        <f aca="false">'Mid &amp; Assgn - A'!AB46</f>
        <v>0</v>
      </c>
      <c r="O43" s="38" t="n">
        <f aca="false">'Mid &amp; Assgn - A'!AC46</f>
        <v>0</v>
      </c>
      <c r="P43" s="38" t="n">
        <f aca="false">'Mid &amp; Assgn - A'!AD46</f>
        <v>0</v>
      </c>
      <c r="Q43" s="38" t="n">
        <f aca="false">'Mid &amp; Assgn - A'!AE46</f>
        <v>0</v>
      </c>
      <c r="R43" s="38" t="n">
        <f aca="false">IF(D43/30&gt;=0.7,3,IF(D43/30&gt;=0.5,2,IF(D43/30&gt;=0.35,1,0)))</f>
        <v>0</v>
      </c>
      <c r="S43" s="38" t="n">
        <f aca="false">IF(E43/30&gt;=0.7,3,IF(E43/30&gt;=0.5,2,IF(E43/30&gt;=0.35,1,0)))</f>
        <v>0</v>
      </c>
      <c r="T43" s="38" t="n">
        <f aca="false">IF(H43/30&gt;=0.7,3,IF(H43/30&gt;=0.5,2,IF(H43/30&gt;=0.35,1,0)))</f>
        <v>0</v>
      </c>
      <c r="U43" s="38" t="n">
        <f aca="false">IF(I43/30&gt;=0.7,3,IF(I43/30&gt;=0.5,2,IF(I43/30&gt;=0.35,1,0)))</f>
        <v>0</v>
      </c>
      <c r="V43" s="38"/>
      <c r="W43" s="38"/>
      <c r="X43" s="38"/>
      <c r="Y43" s="38"/>
      <c r="Z43" s="38" t="n">
        <f aca="false">G43+K43+L43+M43+N43+O43+P43</f>
        <v>0</v>
      </c>
      <c r="AA43" s="38" t="n">
        <f aca="false">IFERROR(AVERAGE(R43:U43),0)</f>
        <v>0</v>
      </c>
    </row>
    <row r="44" customFormat="false" ht="15" hidden="false" customHeight="true" outlineLevel="0" collapsed="false">
      <c r="A44" s="35" t="n">
        <v>31</v>
      </c>
      <c r="B44" s="35" t="n">
        <f aca="false">'Mid &amp; Assgn - A'!B47</f>
        <v>0</v>
      </c>
      <c r="C44" s="35" t="n">
        <f aca="false">'Mid &amp; Assgn - A'!C47</f>
        <v>0</v>
      </c>
      <c r="D44" s="36" t="n">
        <f aca="false">IFERROR(SUM('Mid &amp; Assgn - A'!D47:I47),0)</f>
        <v>0</v>
      </c>
      <c r="E44" s="36" t="n">
        <f aca="false">IFERROR(SUM('Mid &amp; Assgn - A'!J47:M47),0)</f>
        <v>0</v>
      </c>
      <c r="F44" s="36" t="n">
        <f aca="false">D44+E44</f>
        <v>0</v>
      </c>
      <c r="G44" s="36" t="n">
        <f aca="false">IFERROR(ROUND(F44/30*15,2),0)</f>
        <v>0</v>
      </c>
      <c r="H44" s="36" t="n">
        <f aca="false">IFERROR(SUM('Mid &amp; Assgn - A'!N47:S47),0)</f>
        <v>0</v>
      </c>
      <c r="I44" s="36" t="n">
        <f aca="false">IFERROR(SUM('Mid &amp; Assgn - A'!T47:Y47),0)</f>
        <v>0</v>
      </c>
      <c r="J44" s="36" t="n">
        <f aca="false">H44+I44</f>
        <v>0</v>
      </c>
      <c r="K44" s="36" t="n">
        <f aca="false">IFERROR(ROUND(J44/30*15,2),0)</f>
        <v>0</v>
      </c>
      <c r="L44" s="36" t="n">
        <f aca="false">'Mid &amp; Assgn - A'!Z47</f>
        <v>0</v>
      </c>
      <c r="M44" s="36" t="n">
        <f aca="false">'Mid &amp; Assgn - A'!AA47</f>
        <v>0</v>
      </c>
      <c r="N44" s="36" t="n">
        <f aca="false">'Mid &amp; Assgn - A'!AB47</f>
        <v>0</v>
      </c>
      <c r="O44" s="36" t="n">
        <f aca="false">'Mid &amp; Assgn - A'!AC47</f>
        <v>0</v>
      </c>
      <c r="P44" s="36" t="n">
        <f aca="false">'Mid &amp; Assgn - A'!AD47</f>
        <v>0</v>
      </c>
      <c r="Q44" s="36" t="n">
        <f aca="false">'Mid &amp; Assgn - A'!AE47</f>
        <v>0</v>
      </c>
      <c r="R44" s="36" t="n">
        <f aca="false">IF(D44/30&gt;=0.7,3,IF(D44/30&gt;=0.5,2,IF(D44/30&gt;=0.35,1,0)))</f>
        <v>0</v>
      </c>
      <c r="S44" s="36" t="n">
        <f aca="false">IF(E44/30&gt;=0.7,3,IF(E44/30&gt;=0.5,2,IF(E44/30&gt;=0.35,1,0)))</f>
        <v>0</v>
      </c>
      <c r="T44" s="36" t="n">
        <f aca="false">IF(H44/30&gt;=0.7,3,IF(H44/30&gt;=0.5,2,IF(H44/30&gt;=0.35,1,0)))</f>
        <v>0</v>
      </c>
      <c r="U44" s="36" t="n">
        <f aca="false">IF(I44/30&gt;=0.7,3,IF(I44/30&gt;=0.5,2,IF(I44/30&gt;=0.35,1,0)))</f>
        <v>0</v>
      </c>
      <c r="V44" s="36"/>
      <c r="W44" s="36"/>
      <c r="X44" s="36"/>
      <c r="Y44" s="36"/>
      <c r="Z44" s="36" t="n">
        <f aca="false">G44+K44+L44+M44+N44+O44+P44</f>
        <v>0</v>
      </c>
      <c r="AA44" s="36" t="n">
        <f aca="false">IFERROR(AVERAGE(R44:U44),0)</f>
        <v>0</v>
      </c>
    </row>
    <row r="45" customFormat="false" ht="15" hidden="false" customHeight="true" outlineLevel="0" collapsed="false">
      <c r="A45" s="37" t="n">
        <v>32</v>
      </c>
      <c r="B45" s="37" t="n">
        <f aca="false">'Mid &amp; Assgn - A'!B48</f>
        <v>0</v>
      </c>
      <c r="C45" s="37" t="n">
        <f aca="false">'Mid &amp; Assgn - A'!C48</f>
        <v>0</v>
      </c>
      <c r="D45" s="38" t="n">
        <f aca="false">IFERROR(SUM('Mid &amp; Assgn - A'!D48:I48),0)</f>
        <v>0</v>
      </c>
      <c r="E45" s="38" t="n">
        <f aca="false">IFERROR(SUM('Mid &amp; Assgn - A'!J48:M48),0)</f>
        <v>0</v>
      </c>
      <c r="F45" s="38" t="n">
        <f aca="false">D45+E45</f>
        <v>0</v>
      </c>
      <c r="G45" s="38" t="n">
        <f aca="false">IFERROR(ROUND(F45/30*15,2),0)</f>
        <v>0</v>
      </c>
      <c r="H45" s="38" t="n">
        <f aca="false">IFERROR(SUM('Mid &amp; Assgn - A'!N48:S48),0)</f>
        <v>0</v>
      </c>
      <c r="I45" s="38" t="n">
        <f aca="false">IFERROR(SUM('Mid &amp; Assgn - A'!T48:Y48),0)</f>
        <v>0</v>
      </c>
      <c r="J45" s="38" t="n">
        <f aca="false">H45+I45</f>
        <v>0</v>
      </c>
      <c r="K45" s="38" t="n">
        <f aca="false">IFERROR(ROUND(J45/30*15,2),0)</f>
        <v>0</v>
      </c>
      <c r="L45" s="38" t="n">
        <f aca="false">'Mid &amp; Assgn - A'!Z48</f>
        <v>0</v>
      </c>
      <c r="M45" s="38" t="n">
        <f aca="false">'Mid &amp; Assgn - A'!AA48</f>
        <v>0</v>
      </c>
      <c r="N45" s="38" t="n">
        <f aca="false">'Mid &amp; Assgn - A'!AB48</f>
        <v>0</v>
      </c>
      <c r="O45" s="38" t="n">
        <f aca="false">'Mid &amp; Assgn - A'!AC48</f>
        <v>0</v>
      </c>
      <c r="P45" s="38" t="n">
        <f aca="false">'Mid &amp; Assgn - A'!AD48</f>
        <v>0</v>
      </c>
      <c r="Q45" s="38" t="n">
        <f aca="false">'Mid &amp; Assgn - A'!AE48</f>
        <v>0</v>
      </c>
      <c r="R45" s="38" t="n">
        <f aca="false">IF(D45/30&gt;=0.7,3,IF(D45/30&gt;=0.5,2,IF(D45/30&gt;=0.35,1,0)))</f>
        <v>0</v>
      </c>
      <c r="S45" s="38" t="n">
        <f aca="false">IF(E45/30&gt;=0.7,3,IF(E45/30&gt;=0.5,2,IF(E45/30&gt;=0.35,1,0)))</f>
        <v>0</v>
      </c>
      <c r="T45" s="38" t="n">
        <f aca="false">IF(H45/30&gt;=0.7,3,IF(H45/30&gt;=0.5,2,IF(H45/30&gt;=0.35,1,0)))</f>
        <v>0</v>
      </c>
      <c r="U45" s="38" t="n">
        <f aca="false">IF(I45/30&gt;=0.7,3,IF(I45/30&gt;=0.5,2,IF(I45/30&gt;=0.35,1,0)))</f>
        <v>0</v>
      </c>
      <c r="V45" s="38"/>
      <c r="W45" s="38"/>
      <c r="X45" s="38"/>
      <c r="Y45" s="38"/>
      <c r="Z45" s="38" t="n">
        <f aca="false">G45+K45+L45+M45+N45+O45+P45</f>
        <v>0</v>
      </c>
      <c r="AA45" s="38" t="n">
        <f aca="false">IFERROR(AVERAGE(R45:U45),0)</f>
        <v>0</v>
      </c>
    </row>
    <row r="46" customFormat="false" ht="15" hidden="false" customHeight="true" outlineLevel="0" collapsed="false">
      <c r="A46" s="35" t="n">
        <v>33</v>
      </c>
      <c r="B46" s="35" t="n">
        <f aca="false">'Mid &amp; Assgn - A'!B49</f>
        <v>0</v>
      </c>
      <c r="C46" s="35" t="n">
        <f aca="false">'Mid &amp; Assgn - A'!C49</f>
        <v>0</v>
      </c>
      <c r="D46" s="36" t="n">
        <f aca="false">IFERROR(SUM('Mid &amp; Assgn - A'!D49:I49),0)</f>
        <v>0</v>
      </c>
      <c r="E46" s="36" t="n">
        <f aca="false">IFERROR(SUM('Mid &amp; Assgn - A'!J49:M49),0)</f>
        <v>0</v>
      </c>
      <c r="F46" s="36" t="n">
        <f aca="false">D46+E46</f>
        <v>0</v>
      </c>
      <c r="G46" s="36" t="n">
        <f aca="false">IFERROR(ROUND(F46/30*15,2),0)</f>
        <v>0</v>
      </c>
      <c r="H46" s="36" t="n">
        <f aca="false">IFERROR(SUM('Mid &amp; Assgn - A'!N49:S49),0)</f>
        <v>0</v>
      </c>
      <c r="I46" s="36" t="n">
        <f aca="false">IFERROR(SUM('Mid &amp; Assgn - A'!T49:Y49),0)</f>
        <v>0</v>
      </c>
      <c r="J46" s="36" t="n">
        <f aca="false">H46+I46</f>
        <v>0</v>
      </c>
      <c r="K46" s="36" t="n">
        <f aca="false">IFERROR(ROUND(J46/30*15,2),0)</f>
        <v>0</v>
      </c>
      <c r="L46" s="36" t="n">
        <f aca="false">'Mid &amp; Assgn - A'!Z49</f>
        <v>0</v>
      </c>
      <c r="M46" s="36" t="n">
        <f aca="false">'Mid &amp; Assgn - A'!AA49</f>
        <v>0</v>
      </c>
      <c r="N46" s="36" t="n">
        <f aca="false">'Mid &amp; Assgn - A'!AB49</f>
        <v>0</v>
      </c>
      <c r="O46" s="36" t="n">
        <f aca="false">'Mid &amp; Assgn - A'!AC49</f>
        <v>0</v>
      </c>
      <c r="P46" s="36" t="n">
        <f aca="false">'Mid &amp; Assgn - A'!AD49</f>
        <v>0</v>
      </c>
      <c r="Q46" s="36" t="n">
        <f aca="false">'Mid &amp; Assgn - A'!AE49</f>
        <v>0</v>
      </c>
      <c r="R46" s="36" t="n">
        <f aca="false">IF(D46/30&gt;=0.7,3,IF(D46/30&gt;=0.5,2,IF(D46/30&gt;=0.35,1,0)))</f>
        <v>0</v>
      </c>
      <c r="S46" s="36" t="n">
        <f aca="false">IF(E46/30&gt;=0.7,3,IF(E46/30&gt;=0.5,2,IF(E46/30&gt;=0.35,1,0)))</f>
        <v>0</v>
      </c>
      <c r="T46" s="36" t="n">
        <f aca="false">IF(H46/30&gt;=0.7,3,IF(H46/30&gt;=0.5,2,IF(H46/30&gt;=0.35,1,0)))</f>
        <v>0</v>
      </c>
      <c r="U46" s="36" t="n">
        <f aca="false">IF(I46/30&gt;=0.7,3,IF(I46/30&gt;=0.5,2,IF(I46/30&gt;=0.35,1,0)))</f>
        <v>0</v>
      </c>
      <c r="V46" s="36"/>
      <c r="W46" s="36"/>
      <c r="X46" s="36"/>
      <c r="Y46" s="36"/>
      <c r="Z46" s="36" t="n">
        <f aca="false">G46+K46+L46+M46+N46+O46+P46</f>
        <v>0</v>
      </c>
      <c r="AA46" s="36" t="n">
        <f aca="false">IFERROR(AVERAGE(R46:U46),0)</f>
        <v>0</v>
      </c>
    </row>
    <row r="47" customFormat="false" ht="15" hidden="false" customHeight="true" outlineLevel="0" collapsed="false">
      <c r="A47" s="37" t="n">
        <v>34</v>
      </c>
      <c r="B47" s="37" t="n">
        <f aca="false">'Mid &amp; Assgn - A'!B50</f>
        <v>0</v>
      </c>
      <c r="C47" s="37" t="n">
        <f aca="false">'Mid &amp; Assgn - A'!C50</f>
        <v>0</v>
      </c>
      <c r="D47" s="38" t="n">
        <f aca="false">IFERROR(SUM('Mid &amp; Assgn - A'!D50:I50),0)</f>
        <v>0</v>
      </c>
      <c r="E47" s="38" t="n">
        <f aca="false">IFERROR(SUM('Mid &amp; Assgn - A'!J50:M50),0)</f>
        <v>0</v>
      </c>
      <c r="F47" s="38" t="n">
        <f aca="false">D47+E47</f>
        <v>0</v>
      </c>
      <c r="G47" s="38" t="n">
        <f aca="false">IFERROR(ROUND(F47/30*15,2),0)</f>
        <v>0</v>
      </c>
      <c r="H47" s="38" t="n">
        <f aca="false">IFERROR(SUM('Mid &amp; Assgn - A'!N50:S50),0)</f>
        <v>0</v>
      </c>
      <c r="I47" s="38" t="n">
        <f aca="false">IFERROR(SUM('Mid &amp; Assgn - A'!T50:Y50),0)</f>
        <v>0</v>
      </c>
      <c r="J47" s="38" t="n">
        <f aca="false">H47+I47</f>
        <v>0</v>
      </c>
      <c r="K47" s="38" t="n">
        <f aca="false">IFERROR(ROUND(J47/30*15,2),0)</f>
        <v>0</v>
      </c>
      <c r="L47" s="38" t="n">
        <f aca="false">'Mid &amp; Assgn - A'!Z50</f>
        <v>0</v>
      </c>
      <c r="M47" s="38" t="n">
        <f aca="false">'Mid &amp; Assgn - A'!AA50</f>
        <v>0</v>
      </c>
      <c r="N47" s="38" t="n">
        <f aca="false">'Mid &amp; Assgn - A'!AB50</f>
        <v>0</v>
      </c>
      <c r="O47" s="38" t="n">
        <f aca="false">'Mid &amp; Assgn - A'!AC50</f>
        <v>0</v>
      </c>
      <c r="P47" s="38" t="n">
        <f aca="false">'Mid &amp; Assgn - A'!AD50</f>
        <v>0</v>
      </c>
      <c r="Q47" s="38" t="n">
        <f aca="false">'Mid &amp; Assgn - A'!AE50</f>
        <v>0</v>
      </c>
      <c r="R47" s="38" t="n">
        <f aca="false">IF(D47/30&gt;=0.7,3,IF(D47/30&gt;=0.5,2,IF(D47/30&gt;=0.35,1,0)))</f>
        <v>0</v>
      </c>
      <c r="S47" s="38" t="n">
        <f aca="false">IF(E47/30&gt;=0.7,3,IF(E47/30&gt;=0.5,2,IF(E47/30&gt;=0.35,1,0)))</f>
        <v>0</v>
      </c>
      <c r="T47" s="38" t="n">
        <f aca="false">IF(H47/30&gt;=0.7,3,IF(H47/30&gt;=0.5,2,IF(H47/30&gt;=0.35,1,0)))</f>
        <v>0</v>
      </c>
      <c r="U47" s="38" t="n">
        <f aca="false">IF(I47/30&gt;=0.7,3,IF(I47/30&gt;=0.5,2,IF(I47/30&gt;=0.35,1,0)))</f>
        <v>0</v>
      </c>
      <c r="V47" s="38"/>
      <c r="W47" s="38"/>
      <c r="X47" s="38"/>
      <c r="Y47" s="38"/>
      <c r="Z47" s="38" t="n">
        <f aca="false">G47+K47+L47+M47+N47+O47+P47</f>
        <v>0</v>
      </c>
      <c r="AA47" s="38" t="n">
        <f aca="false">IFERROR(AVERAGE(R47:U47),0)</f>
        <v>0</v>
      </c>
    </row>
    <row r="48" customFormat="false" ht="15" hidden="false" customHeight="true" outlineLevel="0" collapsed="false">
      <c r="A48" s="35" t="n">
        <v>35</v>
      </c>
      <c r="B48" s="35" t="n">
        <f aca="false">'Mid &amp; Assgn - A'!B51</f>
        <v>0</v>
      </c>
      <c r="C48" s="35" t="n">
        <f aca="false">'Mid &amp; Assgn - A'!C51</f>
        <v>0</v>
      </c>
      <c r="D48" s="36" t="n">
        <f aca="false">IFERROR(SUM('Mid &amp; Assgn - A'!D51:I51),0)</f>
        <v>0</v>
      </c>
      <c r="E48" s="36" t="n">
        <f aca="false">IFERROR(SUM('Mid &amp; Assgn - A'!J51:M51),0)</f>
        <v>0</v>
      </c>
      <c r="F48" s="36" t="n">
        <f aca="false">D48+E48</f>
        <v>0</v>
      </c>
      <c r="G48" s="36" t="n">
        <f aca="false">IFERROR(ROUND(F48/30*15,2),0)</f>
        <v>0</v>
      </c>
      <c r="H48" s="36" t="n">
        <f aca="false">IFERROR(SUM('Mid &amp; Assgn - A'!N51:S51),0)</f>
        <v>0</v>
      </c>
      <c r="I48" s="36" t="n">
        <f aca="false">IFERROR(SUM('Mid &amp; Assgn - A'!T51:Y51),0)</f>
        <v>0</v>
      </c>
      <c r="J48" s="36" t="n">
        <f aca="false">H48+I48</f>
        <v>0</v>
      </c>
      <c r="K48" s="36" t="n">
        <f aca="false">IFERROR(ROUND(J48/30*15,2),0)</f>
        <v>0</v>
      </c>
      <c r="L48" s="36" t="n">
        <f aca="false">'Mid &amp; Assgn - A'!Z51</f>
        <v>0</v>
      </c>
      <c r="M48" s="36" t="n">
        <f aca="false">'Mid &amp; Assgn - A'!AA51</f>
        <v>0</v>
      </c>
      <c r="N48" s="36" t="n">
        <f aca="false">'Mid &amp; Assgn - A'!AB51</f>
        <v>0</v>
      </c>
      <c r="O48" s="36" t="n">
        <f aca="false">'Mid &amp; Assgn - A'!AC51</f>
        <v>0</v>
      </c>
      <c r="P48" s="36" t="n">
        <f aca="false">'Mid &amp; Assgn - A'!AD51</f>
        <v>0</v>
      </c>
      <c r="Q48" s="36" t="n">
        <f aca="false">'Mid &amp; Assgn - A'!AE51</f>
        <v>0</v>
      </c>
      <c r="R48" s="36" t="n">
        <f aca="false">IF(D48/30&gt;=0.7,3,IF(D48/30&gt;=0.5,2,IF(D48/30&gt;=0.35,1,0)))</f>
        <v>0</v>
      </c>
      <c r="S48" s="36" t="n">
        <f aca="false">IF(E48/30&gt;=0.7,3,IF(E48/30&gt;=0.5,2,IF(E48/30&gt;=0.35,1,0)))</f>
        <v>0</v>
      </c>
      <c r="T48" s="36" t="n">
        <f aca="false">IF(H48/30&gt;=0.7,3,IF(H48/30&gt;=0.5,2,IF(H48/30&gt;=0.35,1,0)))</f>
        <v>0</v>
      </c>
      <c r="U48" s="36" t="n">
        <f aca="false">IF(I48/30&gt;=0.7,3,IF(I48/30&gt;=0.5,2,IF(I48/30&gt;=0.35,1,0)))</f>
        <v>0</v>
      </c>
      <c r="V48" s="36"/>
      <c r="W48" s="36"/>
      <c r="X48" s="36"/>
      <c r="Y48" s="36"/>
      <c r="Z48" s="36" t="n">
        <f aca="false">G48+K48+L48+M48+N48+O48+P48</f>
        <v>0</v>
      </c>
      <c r="AA48" s="36" t="n">
        <f aca="false">IFERROR(AVERAGE(R48:U48),0)</f>
        <v>0</v>
      </c>
    </row>
    <row r="49" customFormat="false" ht="15" hidden="false" customHeight="true" outlineLevel="0" collapsed="false">
      <c r="A49" s="37" t="n">
        <v>36</v>
      </c>
      <c r="B49" s="37" t="n">
        <f aca="false">'Mid &amp; Assgn - A'!B52</f>
        <v>0</v>
      </c>
      <c r="C49" s="37" t="n">
        <f aca="false">'Mid &amp; Assgn - A'!C52</f>
        <v>0</v>
      </c>
      <c r="D49" s="38" t="n">
        <f aca="false">IFERROR(SUM('Mid &amp; Assgn - A'!D52:I52),0)</f>
        <v>0</v>
      </c>
      <c r="E49" s="38" t="n">
        <f aca="false">IFERROR(SUM('Mid &amp; Assgn - A'!J52:M52),0)</f>
        <v>0</v>
      </c>
      <c r="F49" s="38" t="n">
        <f aca="false">D49+E49</f>
        <v>0</v>
      </c>
      <c r="G49" s="38" t="n">
        <f aca="false">IFERROR(ROUND(F49/30*15,2),0)</f>
        <v>0</v>
      </c>
      <c r="H49" s="38" t="n">
        <f aca="false">IFERROR(SUM('Mid &amp; Assgn - A'!N52:S52),0)</f>
        <v>0</v>
      </c>
      <c r="I49" s="38" t="n">
        <f aca="false">IFERROR(SUM('Mid &amp; Assgn - A'!T52:Y52),0)</f>
        <v>0</v>
      </c>
      <c r="J49" s="38" t="n">
        <f aca="false">H49+I49</f>
        <v>0</v>
      </c>
      <c r="K49" s="38" t="n">
        <f aca="false">IFERROR(ROUND(J49/30*15,2),0)</f>
        <v>0</v>
      </c>
      <c r="L49" s="38" t="n">
        <f aca="false">'Mid &amp; Assgn - A'!Z52</f>
        <v>0</v>
      </c>
      <c r="M49" s="38" t="n">
        <f aca="false">'Mid &amp; Assgn - A'!AA52</f>
        <v>0</v>
      </c>
      <c r="N49" s="38" t="n">
        <f aca="false">'Mid &amp; Assgn - A'!AB52</f>
        <v>0</v>
      </c>
      <c r="O49" s="38" t="n">
        <f aca="false">'Mid &amp; Assgn - A'!AC52</f>
        <v>0</v>
      </c>
      <c r="P49" s="38" t="n">
        <f aca="false">'Mid &amp; Assgn - A'!AD52</f>
        <v>0</v>
      </c>
      <c r="Q49" s="38" t="n">
        <f aca="false">'Mid &amp; Assgn - A'!AE52</f>
        <v>0</v>
      </c>
      <c r="R49" s="38" t="n">
        <f aca="false">IF(D49/30&gt;=0.7,3,IF(D49/30&gt;=0.5,2,IF(D49/30&gt;=0.35,1,0)))</f>
        <v>0</v>
      </c>
      <c r="S49" s="38" t="n">
        <f aca="false">IF(E49/30&gt;=0.7,3,IF(E49/30&gt;=0.5,2,IF(E49/30&gt;=0.35,1,0)))</f>
        <v>0</v>
      </c>
      <c r="T49" s="38" t="n">
        <f aca="false">IF(H49/30&gt;=0.7,3,IF(H49/30&gt;=0.5,2,IF(H49/30&gt;=0.35,1,0)))</f>
        <v>0</v>
      </c>
      <c r="U49" s="38" t="n">
        <f aca="false">IF(I49/30&gt;=0.7,3,IF(I49/30&gt;=0.5,2,IF(I49/30&gt;=0.35,1,0)))</f>
        <v>0</v>
      </c>
      <c r="V49" s="38"/>
      <c r="W49" s="38"/>
      <c r="X49" s="38"/>
      <c r="Y49" s="38"/>
      <c r="Z49" s="38" t="n">
        <f aca="false">G49+K49+L49+M49+N49+O49+P49</f>
        <v>0</v>
      </c>
      <c r="AA49" s="38" t="n">
        <f aca="false">IFERROR(AVERAGE(R49:U49),0)</f>
        <v>0</v>
      </c>
    </row>
    <row r="50" customFormat="false" ht="15" hidden="false" customHeight="true" outlineLevel="0" collapsed="false">
      <c r="A50" s="35" t="n">
        <v>37</v>
      </c>
      <c r="B50" s="35" t="n">
        <f aca="false">'Mid &amp; Assgn - A'!B53</f>
        <v>0</v>
      </c>
      <c r="C50" s="35" t="n">
        <f aca="false">'Mid &amp; Assgn - A'!C53</f>
        <v>0</v>
      </c>
      <c r="D50" s="36" t="n">
        <f aca="false">IFERROR(SUM('Mid &amp; Assgn - A'!D53:I53),0)</f>
        <v>0</v>
      </c>
      <c r="E50" s="36" t="n">
        <f aca="false">IFERROR(SUM('Mid &amp; Assgn - A'!J53:M53),0)</f>
        <v>0</v>
      </c>
      <c r="F50" s="36" t="n">
        <f aca="false">D50+E50</f>
        <v>0</v>
      </c>
      <c r="G50" s="36" t="n">
        <f aca="false">IFERROR(ROUND(F50/30*15,2),0)</f>
        <v>0</v>
      </c>
      <c r="H50" s="36" t="n">
        <f aca="false">IFERROR(SUM('Mid &amp; Assgn - A'!N53:S53),0)</f>
        <v>0</v>
      </c>
      <c r="I50" s="36" t="n">
        <f aca="false">IFERROR(SUM('Mid &amp; Assgn - A'!T53:Y53),0)</f>
        <v>0</v>
      </c>
      <c r="J50" s="36" t="n">
        <f aca="false">H50+I50</f>
        <v>0</v>
      </c>
      <c r="K50" s="36" t="n">
        <f aca="false">IFERROR(ROUND(J50/30*15,2),0)</f>
        <v>0</v>
      </c>
      <c r="L50" s="36" t="n">
        <f aca="false">'Mid &amp; Assgn - A'!Z53</f>
        <v>0</v>
      </c>
      <c r="M50" s="36" t="n">
        <f aca="false">'Mid &amp; Assgn - A'!AA53</f>
        <v>0</v>
      </c>
      <c r="N50" s="36" t="n">
        <f aca="false">'Mid &amp; Assgn - A'!AB53</f>
        <v>0</v>
      </c>
      <c r="O50" s="36" t="n">
        <f aca="false">'Mid &amp; Assgn - A'!AC53</f>
        <v>0</v>
      </c>
      <c r="P50" s="36" t="n">
        <f aca="false">'Mid &amp; Assgn - A'!AD53</f>
        <v>0</v>
      </c>
      <c r="Q50" s="36" t="n">
        <f aca="false">'Mid &amp; Assgn - A'!AE53</f>
        <v>0</v>
      </c>
      <c r="R50" s="36" t="n">
        <f aca="false">IF(D50/30&gt;=0.7,3,IF(D50/30&gt;=0.5,2,IF(D50/30&gt;=0.35,1,0)))</f>
        <v>0</v>
      </c>
      <c r="S50" s="36" t="n">
        <f aca="false">IF(E50/30&gt;=0.7,3,IF(E50/30&gt;=0.5,2,IF(E50/30&gt;=0.35,1,0)))</f>
        <v>0</v>
      </c>
      <c r="T50" s="36" t="n">
        <f aca="false">IF(H50/30&gt;=0.7,3,IF(H50/30&gt;=0.5,2,IF(H50/30&gt;=0.35,1,0)))</f>
        <v>0</v>
      </c>
      <c r="U50" s="36" t="n">
        <f aca="false">IF(I50/30&gt;=0.7,3,IF(I50/30&gt;=0.5,2,IF(I50/30&gt;=0.35,1,0)))</f>
        <v>0</v>
      </c>
      <c r="V50" s="36"/>
      <c r="W50" s="36"/>
      <c r="X50" s="36"/>
      <c r="Y50" s="36"/>
      <c r="Z50" s="36" t="n">
        <f aca="false">G50+K50+L50+M50+N50+O50+P50</f>
        <v>0</v>
      </c>
      <c r="AA50" s="36" t="n">
        <f aca="false">IFERROR(AVERAGE(R50:U50),0)</f>
        <v>0</v>
      </c>
    </row>
    <row r="51" customFormat="false" ht="15" hidden="false" customHeight="true" outlineLevel="0" collapsed="false">
      <c r="A51" s="37" t="n">
        <v>38</v>
      </c>
      <c r="B51" s="37" t="n">
        <f aca="false">'Mid &amp; Assgn - A'!B54</f>
        <v>0</v>
      </c>
      <c r="C51" s="37" t="n">
        <f aca="false">'Mid &amp; Assgn - A'!C54</f>
        <v>0</v>
      </c>
      <c r="D51" s="38" t="n">
        <f aca="false">IFERROR(SUM('Mid &amp; Assgn - A'!D54:I54),0)</f>
        <v>0</v>
      </c>
      <c r="E51" s="38" t="n">
        <f aca="false">IFERROR(SUM('Mid &amp; Assgn - A'!J54:M54),0)</f>
        <v>0</v>
      </c>
      <c r="F51" s="38" t="n">
        <f aca="false">D51+E51</f>
        <v>0</v>
      </c>
      <c r="G51" s="38" t="n">
        <f aca="false">IFERROR(ROUND(F51/30*15,2),0)</f>
        <v>0</v>
      </c>
      <c r="H51" s="38" t="n">
        <f aca="false">IFERROR(SUM('Mid &amp; Assgn - A'!N54:S54),0)</f>
        <v>0</v>
      </c>
      <c r="I51" s="38" t="n">
        <f aca="false">IFERROR(SUM('Mid &amp; Assgn - A'!T54:Y54),0)</f>
        <v>0</v>
      </c>
      <c r="J51" s="38" t="n">
        <f aca="false">H51+I51</f>
        <v>0</v>
      </c>
      <c r="K51" s="38" t="n">
        <f aca="false">IFERROR(ROUND(J51/30*15,2),0)</f>
        <v>0</v>
      </c>
      <c r="L51" s="38" t="n">
        <f aca="false">'Mid &amp; Assgn - A'!Z54</f>
        <v>0</v>
      </c>
      <c r="M51" s="38" t="n">
        <f aca="false">'Mid &amp; Assgn - A'!AA54</f>
        <v>0</v>
      </c>
      <c r="N51" s="38" t="n">
        <f aca="false">'Mid &amp; Assgn - A'!AB54</f>
        <v>0</v>
      </c>
      <c r="O51" s="38" t="n">
        <f aca="false">'Mid &amp; Assgn - A'!AC54</f>
        <v>0</v>
      </c>
      <c r="P51" s="38" t="n">
        <f aca="false">'Mid &amp; Assgn - A'!AD54</f>
        <v>0</v>
      </c>
      <c r="Q51" s="38" t="n">
        <f aca="false">'Mid &amp; Assgn - A'!AE54</f>
        <v>0</v>
      </c>
      <c r="R51" s="38" t="n">
        <f aca="false">IF(D51/30&gt;=0.7,3,IF(D51/30&gt;=0.5,2,IF(D51/30&gt;=0.35,1,0)))</f>
        <v>0</v>
      </c>
      <c r="S51" s="38" t="n">
        <f aca="false">IF(E51/30&gt;=0.7,3,IF(E51/30&gt;=0.5,2,IF(E51/30&gt;=0.35,1,0)))</f>
        <v>0</v>
      </c>
      <c r="T51" s="38" t="n">
        <f aca="false">IF(H51/30&gt;=0.7,3,IF(H51/30&gt;=0.5,2,IF(H51/30&gt;=0.35,1,0)))</f>
        <v>0</v>
      </c>
      <c r="U51" s="38" t="n">
        <f aca="false">IF(I51/30&gt;=0.7,3,IF(I51/30&gt;=0.5,2,IF(I51/30&gt;=0.35,1,0)))</f>
        <v>0</v>
      </c>
      <c r="V51" s="38"/>
      <c r="W51" s="38"/>
      <c r="X51" s="38"/>
      <c r="Y51" s="38"/>
      <c r="Z51" s="38" t="n">
        <f aca="false">G51+K51+L51+M51+N51+O51+P51</f>
        <v>0</v>
      </c>
      <c r="AA51" s="38" t="n">
        <f aca="false">IFERROR(AVERAGE(R51:U51),0)</f>
        <v>0</v>
      </c>
    </row>
    <row r="52" customFormat="false" ht="15" hidden="false" customHeight="true" outlineLevel="0" collapsed="false">
      <c r="A52" s="35" t="n">
        <v>39</v>
      </c>
      <c r="B52" s="35" t="n">
        <f aca="false">'Mid &amp; Assgn - A'!B55</f>
        <v>0</v>
      </c>
      <c r="C52" s="35" t="n">
        <f aca="false">'Mid &amp; Assgn - A'!C55</f>
        <v>0</v>
      </c>
      <c r="D52" s="36" t="n">
        <f aca="false">IFERROR(SUM('Mid &amp; Assgn - A'!D55:I55),0)</f>
        <v>0</v>
      </c>
      <c r="E52" s="36" t="n">
        <f aca="false">IFERROR(SUM('Mid &amp; Assgn - A'!J55:M55),0)</f>
        <v>0</v>
      </c>
      <c r="F52" s="36" t="n">
        <f aca="false">D52+E52</f>
        <v>0</v>
      </c>
      <c r="G52" s="36" t="n">
        <f aca="false">IFERROR(ROUND(F52/30*15,2),0)</f>
        <v>0</v>
      </c>
      <c r="H52" s="36" t="n">
        <f aca="false">IFERROR(SUM('Mid &amp; Assgn - A'!N55:S55),0)</f>
        <v>0</v>
      </c>
      <c r="I52" s="36" t="n">
        <f aca="false">IFERROR(SUM('Mid &amp; Assgn - A'!T55:Y55),0)</f>
        <v>0</v>
      </c>
      <c r="J52" s="36" t="n">
        <f aca="false">H52+I52</f>
        <v>0</v>
      </c>
      <c r="K52" s="36" t="n">
        <f aca="false">IFERROR(ROUND(J52/30*15,2),0)</f>
        <v>0</v>
      </c>
      <c r="L52" s="36" t="n">
        <f aca="false">'Mid &amp; Assgn - A'!Z55</f>
        <v>0</v>
      </c>
      <c r="M52" s="36" t="n">
        <f aca="false">'Mid &amp; Assgn - A'!AA55</f>
        <v>0</v>
      </c>
      <c r="N52" s="36" t="n">
        <f aca="false">'Mid &amp; Assgn - A'!AB55</f>
        <v>0</v>
      </c>
      <c r="O52" s="36" t="n">
        <f aca="false">'Mid &amp; Assgn - A'!AC55</f>
        <v>0</v>
      </c>
      <c r="P52" s="36" t="n">
        <f aca="false">'Mid &amp; Assgn - A'!AD55</f>
        <v>0</v>
      </c>
      <c r="Q52" s="36" t="n">
        <f aca="false">'Mid &amp; Assgn - A'!AE55</f>
        <v>0</v>
      </c>
      <c r="R52" s="36" t="n">
        <f aca="false">IF(D52/30&gt;=0.7,3,IF(D52/30&gt;=0.5,2,IF(D52/30&gt;=0.35,1,0)))</f>
        <v>0</v>
      </c>
      <c r="S52" s="36" t="n">
        <f aca="false">IF(E52/30&gt;=0.7,3,IF(E52/30&gt;=0.5,2,IF(E52/30&gt;=0.35,1,0)))</f>
        <v>0</v>
      </c>
      <c r="T52" s="36" t="n">
        <f aca="false">IF(H52/30&gt;=0.7,3,IF(H52/30&gt;=0.5,2,IF(H52/30&gt;=0.35,1,0)))</f>
        <v>0</v>
      </c>
      <c r="U52" s="36" t="n">
        <f aca="false">IF(I52/30&gt;=0.7,3,IF(I52/30&gt;=0.5,2,IF(I52/30&gt;=0.35,1,0)))</f>
        <v>0</v>
      </c>
      <c r="V52" s="36"/>
      <c r="W52" s="36"/>
      <c r="X52" s="36"/>
      <c r="Y52" s="36"/>
      <c r="Z52" s="36" t="n">
        <f aca="false">G52+K52+L52+M52+N52+O52+P52</f>
        <v>0</v>
      </c>
      <c r="AA52" s="36" t="n">
        <f aca="false">IFERROR(AVERAGE(R52:U52),0)</f>
        <v>0</v>
      </c>
    </row>
    <row r="53" customFormat="false" ht="15" hidden="false" customHeight="true" outlineLevel="0" collapsed="false">
      <c r="A53" s="37" t="n">
        <v>40</v>
      </c>
      <c r="B53" s="37" t="n">
        <f aca="false">'Mid &amp; Assgn - A'!B56</f>
        <v>0</v>
      </c>
      <c r="C53" s="37" t="n">
        <f aca="false">'Mid &amp; Assgn - A'!C56</f>
        <v>0</v>
      </c>
      <c r="D53" s="38" t="n">
        <f aca="false">IFERROR(SUM('Mid &amp; Assgn - A'!D56:I56),0)</f>
        <v>0</v>
      </c>
      <c r="E53" s="38" t="n">
        <f aca="false">IFERROR(SUM('Mid &amp; Assgn - A'!J56:M56),0)</f>
        <v>0</v>
      </c>
      <c r="F53" s="38" t="n">
        <f aca="false">D53+E53</f>
        <v>0</v>
      </c>
      <c r="G53" s="38" t="n">
        <f aca="false">IFERROR(ROUND(F53/30*15,2),0)</f>
        <v>0</v>
      </c>
      <c r="H53" s="38" t="n">
        <f aca="false">IFERROR(SUM('Mid &amp; Assgn - A'!N56:S56),0)</f>
        <v>0</v>
      </c>
      <c r="I53" s="38" t="n">
        <f aca="false">IFERROR(SUM('Mid &amp; Assgn - A'!T56:Y56),0)</f>
        <v>0</v>
      </c>
      <c r="J53" s="38" t="n">
        <f aca="false">H53+I53</f>
        <v>0</v>
      </c>
      <c r="K53" s="38" t="n">
        <f aca="false">IFERROR(ROUND(J53/30*15,2),0)</f>
        <v>0</v>
      </c>
      <c r="L53" s="38" t="n">
        <f aca="false">'Mid &amp; Assgn - A'!Z56</f>
        <v>0</v>
      </c>
      <c r="M53" s="38" t="n">
        <f aca="false">'Mid &amp; Assgn - A'!AA56</f>
        <v>0</v>
      </c>
      <c r="N53" s="38" t="n">
        <f aca="false">'Mid &amp; Assgn - A'!AB56</f>
        <v>0</v>
      </c>
      <c r="O53" s="38" t="n">
        <f aca="false">'Mid &amp; Assgn - A'!AC56</f>
        <v>0</v>
      </c>
      <c r="P53" s="38" t="n">
        <f aca="false">'Mid &amp; Assgn - A'!AD56</f>
        <v>0</v>
      </c>
      <c r="Q53" s="38" t="n">
        <f aca="false">'Mid &amp; Assgn - A'!AE56</f>
        <v>0</v>
      </c>
      <c r="R53" s="38" t="n">
        <f aca="false">IF(D53/30&gt;=0.7,3,IF(D53/30&gt;=0.5,2,IF(D53/30&gt;=0.35,1,0)))</f>
        <v>0</v>
      </c>
      <c r="S53" s="38" t="n">
        <f aca="false">IF(E53/30&gt;=0.7,3,IF(E53/30&gt;=0.5,2,IF(E53/30&gt;=0.35,1,0)))</f>
        <v>0</v>
      </c>
      <c r="T53" s="38" t="n">
        <f aca="false">IF(H53/30&gt;=0.7,3,IF(H53/30&gt;=0.5,2,IF(H53/30&gt;=0.35,1,0)))</f>
        <v>0</v>
      </c>
      <c r="U53" s="38" t="n">
        <f aca="false">IF(I53/30&gt;=0.7,3,IF(I53/30&gt;=0.5,2,IF(I53/30&gt;=0.35,1,0)))</f>
        <v>0</v>
      </c>
      <c r="V53" s="38"/>
      <c r="W53" s="38"/>
      <c r="X53" s="38"/>
      <c r="Y53" s="38"/>
      <c r="Z53" s="38" t="n">
        <f aca="false">G53+K53+L53+M53+N53+O53+P53</f>
        <v>0</v>
      </c>
      <c r="AA53" s="38" t="n">
        <f aca="false">IFERROR(AVERAGE(R53:U53),0)</f>
        <v>0</v>
      </c>
    </row>
    <row r="54" customFormat="false" ht="15" hidden="false" customHeight="true" outlineLevel="0" collapsed="false">
      <c r="A54" s="35" t="n">
        <v>41</v>
      </c>
      <c r="B54" s="35" t="n">
        <f aca="false">'Mid &amp; Assgn - A'!B57</f>
        <v>0</v>
      </c>
      <c r="C54" s="35" t="n">
        <f aca="false">'Mid &amp; Assgn - A'!C57</f>
        <v>0</v>
      </c>
      <c r="D54" s="36" t="n">
        <f aca="false">IFERROR(SUM('Mid &amp; Assgn - A'!D57:I57),0)</f>
        <v>0</v>
      </c>
      <c r="E54" s="36" t="n">
        <f aca="false">IFERROR(SUM('Mid &amp; Assgn - A'!J57:M57),0)</f>
        <v>0</v>
      </c>
      <c r="F54" s="36" t="n">
        <f aca="false">D54+E54</f>
        <v>0</v>
      </c>
      <c r="G54" s="36" t="n">
        <f aca="false">IFERROR(ROUND(F54/30*15,2),0)</f>
        <v>0</v>
      </c>
      <c r="H54" s="36" t="n">
        <f aca="false">IFERROR(SUM('Mid &amp; Assgn - A'!N57:S57),0)</f>
        <v>0</v>
      </c>
      <c r="I54" s="36" t="n">
        <f aca="false">IFERROR(SUM('Mid &amp; Assgn - A'!T57:Y57),0)</f>
        <v>0</v>
      </c>
      <c r="J54" s="36" t="n">
        <f aca="false">H54+I54</f>
        <v>0</v>
      </c>
      <c r="K54" s="36" t="n">
        <f aca="false">IFERROR(ROUND(J54/30*15,2),0)</f>
        <v>0</v>
      </c>
      <c r="L54" s="36" t="n">
        <f aca="false">'Mid &amp; Assgn - A'!Z57</f>
        <v>0</v>
      </c>
      <c r="M54" s="36" t="n">
        <f aca="false">'Mid &amp; Assgn - A'!AA57</f>
        <v>0</v>
      </c>
      <c r="N54" s="36" t="n">
        <f aca="false">'Mid &amp; Assgn - A'!AB57</f>
        <v>0</v>
      </c>
      <c r="O54" s="36" t="n">
        <f aca="false">'Mid &amp; Assgn - A'!AC57</f>
        <v>0</v>
      </c>
      <c r="P54" s="36" t="n">
        <f aca="false">'Mid &amp; Assgn - A'!AD57</f>
        <v>0</v>
      </c>
      <c r="Q54" s="36" t="n">
        <f aca="false">'Mid &amp; Assgn - A'!AE57</f>
        <v>0</v>
      </c>
      <c r="R54" s="36" t="n">
        <f aca="false">IF(D54/30&gt;=0.7,3,IF(D54/30&gt;=0.5,2,IF(D54/30&gt;=0.35,1,0)))</f>
        <v>0</v>
      </c>
      <c r="S54" s="36" t="n">
        <f aca="false">IF(E54/30&gt;=0.7,3,IF(E54/30&gt;=0.5,2,IF(E54/30&gt;=0.35,1,0)))</f>
        <v>0</v>
      </c>
      <c r="T54" s="36" t="n">
        <f aca="false">IF(H54/30&gt;=0.7,3,IF(H54/30&gt;=0.5,2,IF(H54/30&gt;=0.35,1,0)))</f>
        <v>0</v>
      </c>
      <c r="U54" s="36" t="n">
        <f aca="false">IF(I54/30&gt;=0.7,3,IF(I54/30&gt;=0.5,2,IF(I54/30&gt;=0.35,1,0)))</f>
        <v>0</v>
      </c>
      <c r="V54" s="36"/>
      <c r="W54" s="36"/>
      <c r="X54" s="36"/>
      <c r="Y54" s="36"/>
      <c r="Z54" s="36" t="n">
        <f aca="false">G54+K54+L54+M54+N54+O54+P54</f>
        <v>0</v>
      </c>
      <c r="AA54" s="36" t="n">
        <f aca="false">IFERROR(AVERAGE(R54:U54),0)</f>
        <v>0</v>
      </c>
    </row>
    <row r="55" customFormat="false" ht="15" hidden="false" customHeight="true" outlineLevel="0" collapsed="false">
      <c r="A55" s="37" t="n">
        <v>42</v>
      </c>
      <c r="B55" s="37" t="n">
        <f aca="false">'Mid &amp; Assgn - A'!B58</f>
        <v>0</v>
      </c>
      <c r="C55" s="37" t="n">
        <f aca="false">'Mid &amp; Assgn - A'!C58</f>
        <v>0</v>
      </c>
      <c r="D55" s="38" t="n">
        <f aca="false">IFERROR(SUM('Mid &amp; Assgn - A'!D58:I58),0)</f>
        <v>0</v>
      </c>
      <c r="E55" s="38" t="n">
        <f aca="false">IFERROR(SUM('Mid &amp; Assgn - A'!J58:M58),0)</f>
        <v>0</v>
      </c>
      <c r="F55" s="38" t="n">
        <f aca="false">D55+E55</f>
        <v>0</v>
      </c>
      <c r="G55" s="38" t="n">
        <f aca="false">IFERROR(ROUND(F55/30*15,2),0)</f>
        <v>0</v>
      </c>
      <c r="H55" s="38" t="n">
        <f aca="false">IFERROR(SUM('Mid &amp; Assgn - A'!N58:S58),0)</f>
        <v>0</v>
      </c>
      <c r="I55" s="38" t="n">
        <f aca="false">IFERROR(SUM('Mid &amp; Assgn - A'!T58:Y58),0)</f>
        <v>0</v>
      </c>
      <c r="J55" s="38" t="n">
        <f aca="false">H55+I55</f>
        <v>0</v>
      </c>
      <c r="K55" s="38" t="n">
        <f aca="false">IFERROR(ROUND(J55/30*15,2),0)</f>
        <v>0</v>
      </c>
      <c r="L55" s="38" t="n">
        <f aca="false">'Mid &amp; Assgn - A'!Z58</f>
        <v>0</v>
      </c>
      <c r="M55" s="38" t="n">
        <f aca="false">'Mid &amp; Assgn - A'!AA58</f>
        <v>0</v>
      </c>
      <c r="N55" s="38" t="n">
        <f aca="false">'Mid &amp; Assgn - A'!AB58</f>
        <v>0</v>
      </c>
      <c r="O55" s="38" t="n">
        <f aca="false">'Mid &amp; Assgn - A'!AC58</f>
        <v>0</v>
      </c>
      <c r="P55" s="38" t="n">
        <f aca="false">'Mid &amp; Assgn - A'!AD58</f>
        <v>0</v>
      </c>
      <c r="Q55" s="38" t="n">
        <f aca="false">'Mid &amp; Assgn - A'!AE58</f>
        <v>0</v>
      </c>
      <c r="R55" s="38" t="n">
        <f aca="false">IF(D55/30&gt;=0.7,3,IF(D55/30&gt;=0.5,2,IF(D55/30&gt;=0.35,1,0)))</f>
        <v>0</v>
      </c>
      <c r="S55" s="38" t="n">
        <f aca="false">IF(E55/30&gt;=0.7,3,IF(E55/30&gt;=0.5,2,IF(E55/30&gt;=0.35,1,0)))</f>
        <v>0</v>
      </c>
      <c r="T55" s="38" t="n">
        <f aca="false">IF(H55/30&gt;=0.7,3,IF(H55/30&gt;=0.5,2,IF(H55/30&gt;=0.35,1,0)))</f>
        <v>0</v>
      </c>
      <c r="U55" s="38" t="n">
        <f aca="false">IF(I55/30&gt;=0.7,3,IF(I55/30&gt;=0.5,2,IF(I55/30&gt;=0.35,1,0)))</f>
        <v>0</v>
      </c>
      <c r="V55" s="38"/>
      <c r="W55" s="38"/>
      <c r="X55" s="38"/>
      <c r="Y55" s="38"/>
      <c r="Z55" s="38" t="n">
        <f aca="false">G55+K55+L55+M55+N55+O55+P55</f>
        <v>0</v>
      </c>
      <c r="AA55" s="38" t="n">
        <f aca="false">IFERROR(AVERAGE(R55:U55),0)</f>
        <v>0</v>
      </c>
    </row>
    <row r="56" customFormat="false" ht="15" hidden="false" customHeight="true" outlineLevel="0" collapsed="false">
      <c r="A56" s="35" t="n">
        <v>43</v>
      </c>
      <c r="B56" s="35" t="n">
        <f aca="false">'Mid &amp; Assgn - A'!B59</f>
        <v>0</v>
      </c>
      <c r="C56" s="35" t="n">
        <f aca="false">'Mid &amp; Assgn - A'!C59</f>
        <v>0</v>
      </c>
      <c r="D56" s="36" t="n">
        <f aca="false">IFERROR(SUM('Mid &amp; Assgn - A'!D59:I59),0)</f>
        <v>0</v>
      </c>
      <c r="E56" s="36" t="n">
        <f aca="false">IFERROR(SUM('Mid &amp; Assgn - A'!J59:M59),0)</f>
        <v>0</v>
      </c>
      <c r="F56" s="36" t="n">
        <f aca="false">D56+E56</f>
        <v>0</v>
      </c>
      <c r="G56" s="36" t="n">
        <f aca="false">IFERROR(ROUND(F56/30*15,2),0)</f>
        <v>0</v>
      </c>
      <c r="H56" s="36" t="n">
        <f aca="false">IFERROR(SUM('Mid &amp; Assgn - A'!N59:S59),0)</f>
        <v>0</v>
      </c>
      <c r="I56" s="36" t="n">
        <f aca="false">IFERROR(SUM('Mid &amp; Assgn - A'!T59:Y59),0)</f>
        <v>0</v>
      </c>
      <c r="J56" s="36" t="n">
        <f aca="false">H56+I56</f>
        <v>0</v>
      </c>
      <c r="K56" s="36" t="n">
        <f aca="false">IFERROR(ROUND(J56/30*15,2),0)</f>
        <v>0</v>
      </c>
      <c r="L56" s="36" t="n">
        <f aca="false">'Mid &amp; Assgn - A'!Z59</f>
        <v>0</v>
      </c>
      <c r="M56" s="36" t="n">
        <f aca="false">'Mid &amp; Assgn - A'!AA59</f>
        <v>0</v>
      </c>
      <c r="N56" s="36" t="n">
        <f aca="false">'Mid &amp; Assgn - A'!AB59</f>
        <v>0</v>
      </c>
      <c r="O56" s="36" t="n">
        <f aca="false">'Mid &amp; Assgn - A'!AC59</f>
        <v>0</v>
      </c>
      <c r="P56" s="36" t="n">
        <f aca="false">'Mid &amp; Assgn - A'!AD59</f>
        <v>0</v>
      </c>
      <c r="Q56" s="36" t="n">
        <f aca="false">'Mid &amp; Assgn - A'!AE59</f>
        <v>0</v>
      </c>
      <c r="R56" s="36" t="n">
        <f aca="false">IF(D56/30&gt;=0.7,3,IF(D56/30&gt;=0.5,2,IF(D56/30&gt;=0.35,1,0)))</f>
        <v>0</v>
      </c>
      <c r="S56" s="36" t="n">
        <f aca="false">IF(E56/30&gt;=0.7,3,IF(E56/30&gt;=0.5,2,IF(E56/30&gt;=0.35,1,0)))</f>
        <v>0</v>
      </c>
      <c r="T56" s="36" t="n">
        <f aca="false">IF(H56/30&gt;=0.7,3,IF(H56/30&gt;=0.5,2,IF(H56/30&gt;=0.35,1,0)))</f>
        <v>0</v>
      </c>
      <c r="U56" s="36" t="n">
        <f aca="false">IF(I56/30&gt;=0.7,3,IF(I56/30&gt;=0.5,2,IF(I56/30&gt;=0.35,1,0)))</f>
        <v>0</v>
      </c>
      <c r="V56" s="36"/>
      <c r="W56" s="36"/>
      <c r="X56" s="36"/>
      <c r="Y56" s="36"/>
      <c r="Z56" s="36" t="n">
        <f aca="false">G56+K56+L56+M56+N56+O56+P56</f>
        <v>0</v>
      </c>
      <c r="AA56" s="36" t="n">
        <f aca="false">IFERROR(AVERAGE(R56:U56),0)</f>
        <v>0</v>
      </c>
    </row>
    <row r="57" customFormat="false" ht="15" hidden="false" customHeight="true" outlineLevel="0" collapsed="false">
      <c r="A57" s="37" t="n">
        <v>44</v>
      </c>
      <c r="B57" s="37" t="n">
        <f aca="false">'Mid &amp; Assgn - A'!B60</f>
        <v>0</v>
      </c>
      <c r="C57" s="37" t="n">
        <f aca="false">'Mid &amp; Assgn - A'!C60</f>
        <v>0</v>
      </c>
      <c r="D57" s="38" t="n">
        <f aca="false">IFERROR(SUM('Mid &amp; Assgn - A'!D60:I60),0)</f>
        <v>0</v>
      </c>
      <c r="E57" s="38" t="n">
        <f aca="false">IFERROR(SUM('Mid &amp; Assgn - A'!J60:M60),0)</f>
        <v>0</v>
      </c>
      <c r="F57" s="38" t="n">
        <f aca="false">D57+E57</f>
        <v>0</v>
      </c>
      <c r="G57" s="38" t="n">
        <f aca="false">IFERROR(ROUND(F57/30*15,2),0)</f>
        <v>0</v>
      </c>
      <c r="H57" s="38" t="n">
        <f aca="false">IFERROR(SUM('Mid &amp; Assgn - A'!N60:S60),0)</f>
        <v>0</v>
      </c>
      <c r="I57" s="38" t="n">
        <f aca="false">IFERROR(SUM('Mid &amp; Assgn - A'!T60:Y60),0)</f>
        <v>0</v>
      </c>
      <c r="J57" s="38" t="n">
        <f aca="false">H57+I57</f>
        <v>0</v>
      </c>
      <c r="K57" s="38" t="n">
        <f aca="false">IFERROR(ROUND(J57/30*15,2),0)</f>
        <v>0</v>
      </c>
      <c r="L57" s="38" t="n">
        <f aca="false">'Mid &amp; Assgn - A'!Z60</f>
        <v>0</v>
      </c>
      <c r="M57" s="38" t="n">
        <f aca="false">'Mid &amp; Assgn - A'!AA60</f>
        <v>0</v>
      </c>
      <c r="N57" s="38" t="n">
        <f aca="false">'Mid &amp; Assgn - A'!AB60</f>
        <v>0</v>
      </c>
      <c r="O57" s="38" t="n">
        <f aca="false">'Mid &amp; Assgn - A'!AC60</f>
        <v>0</v>
      </c>
      <c r="P57" s="38" t="n">
        <f aca="false">'Mid &amp; Assgn - A'!AD60</f>
        <v>0</v>
      </c>
      <c r="Q57" s="38" t="n">
        <f aca="false">'Mid &amp; Assgn - A'!AE60</f>
        <v>0</v>
      </c>
      <c r="R57" s="38" t="n">
        <f aca="false">IF(D57/30&gt;=0.7,3,IF(D57/30&gt;=0.5,2,IF(D57/30&gt;=0.35,1,0)))</f>
        <v>0</v>
      </c>
      <c r="S57" s="38" t="n">
        <f aca="false">IF(E57/30&gt;=0.7,3,IF(E57/30&gt;=0.5,2,IF(E57/30&gt;=0.35,1,0)))</f>
        <v>0</v>
      </c>
      <c r="T57" s="38" t="n">
        <f aca="false">IF(H57/30&gt;=0.7,3,IF(H57/30&gt;=0.5,2,IF(H57/30&gt;=0.35,1,0)))</f>
        <v>0</v>
      </c>
      <c r="U57" s="38" t="n">
        <f aca="false">IF(I57/30&gt;=0.7,3,IF(I57/30&gt;=0.5,2,IF(I57/30&gt;=0.35,1,0)))</f>
        <v>0</v>
      </c>
      <c r="V57" s="38"/>
      <c r="W57" s="38"/>
      <c r="X57" s="38"/>
      <c r="Y57" s="38"/>
      <c r="Z57" s="38" t="n">
        <f aca="false">G57+K57+L57+M57+N57+O57+P57</f>
        <v>0</v>
      </c>
      <c r="AA57" s="38" t="n">
        <f aca="false">IFERROR(AVERAGE(R57:U57),0)</f>
        <v>0</v>
      </c>
    </row>
    <row r="58" customFormat="false" ht="15" hidden="false" customHeight="true" outlineLevel="0" collapsed="false">
      <c r="A58" s="35" t="n">
        <v>45</v>
      </c>
      <c r="B58" s="35" t="n">
        <f aca="false">'Mid &amp; Assgn - A'!B61</f>
        <v>0</v>
      </c>
      <c r="C58" s="35" t="n">
        <f aca="false">'Mid &amp; Assgn - A'!C61</f>
        <v>0</v>
      </c>
      <c r="D58" s="36" t="n">
        <f aca="false">IFERROR(SUM('Mid &amp; Assgn - A'!D61:I61),0)</f>
        <v>0</v>
      </c>
      <c r="E58" s="36" t="n">
        <f aca="false">IFERROR(SUM('Mid &amp; Assgn - A'!J61:M61),0)</f>
        <v>0</v>
      </c>
      <c r="F58" s="36" t="n">
        <f aca="false">D58+E58</f>
        <v>0</v>
      </c>
      <c r="G58" s="36" t="n">
        <f aca="false">IFERROR(ROUND(F58/30*15,2),0)</f>
        <v>0</v>
      </c>
      <c r="H58" s="36" t="n">
        <f aca="false">IFERROR(SUM('Mid &amp; Assgn - A'!N61:S61),0)</f>
        <v>0</v>
      </c>
      <c r="I58" s="36" t="n">
        <f aca="false">IFERROR(SUM('Mid &amp; Assgn - A'!T61:Y61),0)</f>
        <v>0</v>
      </c>
      <c r="J58" s="36" t="n">
        <f aca="false">H58+I58</f>
        <v>0</v>
      </c>
      <c r="K58" s="36" t="n">
        <f aca="false">IFERROR(ROUND(J58/30*15,2),0)</f>
        <v>0</v>
      </c>
      <c r="L58" s="36" t="n">
        <f aca="false">'Mid &amp; Assgn - A'!Z61</f>
        <v>0</v>
      </c>
      <c r="M58" s="36" t="n">
        <f aca="false">'Mid &amp; Assgn - A'!AA61</f>
        <v>0</v>
      </c>
      <c r="N58" s="36" t="n">
        <f aca="false">'Mid &amp; Assgn - A'!AB61</f>
        <v>0</v>
      </c>
      <c r="O58" s="36" t="n">
        <f aca="false">'Mid &amp; Assgn - A'!AC61</f>
        <v>0</v>
      </c>
      <c r="P58" s="36" t="n">
        <f aca="false">'Mid &amp; Assgn - A'!AD61</f>
        <v>0</v>
      </c>
      <c r="Q58" s="36" t="n">
        <f aca="false">'Mid &amp; Assgn - A'!AE61</f>
        <v>0</v>
      </c>
      <c r="R58" s="36" t="n">
        <f aca="false">IF(D58/30&gt;=0.7,3,IF(D58/30&gt;=0.5,2,IF(D58/30&gt;=0.35,1,0)))</f>
        <v>0</v>
      </c>
      <c r="S58" s="36" t="n">
        <f aca="false">IF(E58/30&gt;=0.7,3,IF(E58/30&gt;=0.5,2,IF(E58/30&gt;=0.35,1,0)))</f>
        <v>0</v>
      </c>
      <c r="T58" s="36" t="n">
        <f aca="false">IF(H58/30&gt;=0.7,3,IF(H58/30&gt;=0.5,2,IF(H58/30&gt;=0.35,1,0)))</f>
        <v>0</v>
      </c>
      <c r="U58" s="36" t="n">
        <f aca="false">IF(I58/30&gt;=0.7,3,IF(I58/30&gt;=0.5,2,IF(I58/30&gt;=0.35,1,0)))</f>
        <v>0</v>
      </c>
      <c r="V58" s="36"/>
      <c r="W58" s="36"/>
      <c r="X58" s="36"/>
      <c r="Y58" s="36"/>
      <c r="Z58" s="36" t="n">
        <f aca="false">G58+K58+L58+M58+N58+O58+P58</f>
        <v>0</v>
      </c>
      <c r="AA58" s="36" t="n">
        <f aca="false">IFERROR(AVERAGE(R58:U58),0)</f>
        <v>0</v>
      </c>
    </row>
    <row r="59" customFormat="false" ht="15" hidden="false" customHeight="true" outlineLevel="0" collapsed="false">
      <c r="A59" s="37" t="n">
        <v>46</v>
      </c>
      <c r="B59" s="37" t="n">
        <f aca="false">'Mid &amp; Assgn - A'!B62</f>
        <v>0</v>
      </c>
      <c r="C59" s="37" t="n">
        <f aca="false">'Mid &amp; Assgn - A'!C62</f>
        <v>0</v>
      </c>
      <c r="D59" s="38" t="n">
        <f aca="false">IFERROR(SUM('Mid &amp; Assgn - A'!D62:I62),0)</f>
        <v>0</v>
      </c>
      <c r="E59" s="38" t="n">
        <f aca="false">IFERROR(SUM('Mid &amp; Assgn - A'!J62:M62),0)</f>
        <v>0</v>
      </c>
      <c r="F59" s="38" t="n">
        <f aca="false">D59+E59</f>
        <v>0</v>
      </c>
      <c r="G59" s="38" t="n">
        <f aca="false">IFERROR(ROUND(F59/30*15,2),0)</f>
        <v>0</v>
      </c>
      <c r="H59" s="38" t="n">
        <f aca="false">IFERROR(SUM('Mid &amp; Assgn - A'!N62:S62),0)</f>
        <v>0</v>
      </c>
      <c r="I59" s="38" t="n">
        <f aca="false">IFERROR(SUM('Mid &amp; Assgn - A'!T62:Y62),0)</f>
        <v>0</v>
      </c>
      <c r="J59" s="38" t="n">
        <f aca="false">H59+I59</f>
        <v>0</v>
      </c>
      <c r="K59" s="38" t="n">
        <f aca="false">IFERROR(ROUND(J59/30*15,2),0)</f>
        <v>0</v>
      </c>
      <c r="L59" s="38" t="n">
        <f aca="false">'Mid &amp; Assgn - A'!Z62</f>
        <v>0</v>
      </c>
      <c r="M59" s="38" t="n">
        <f aca="false">'Mid &amp; Assgn - A'!AA62</f>
        <v>0</v>
      </c>
      <c r="N59" s="38" t="n">
        <f aca="false">'Mid &amp; Assgn - A'!AB62</f>
        <v>0</v>
      </c>
      <c r="O59" s="38" t="n">
        <f aca="false">'Mid &amp; Assgn - A'!AC62</f>
        <v>0</v>
      </c>
      <c r="P59" s="38" t="n">
        <f aca="false">'Mid &amp; Assgn - A'!AD62</f>
        <v>0</v>
      </c>
      <c r="Q59" s="38" t="n">
        <f aca="false">'Mid &amp; Assgn - A'!AE62</f>
        <v>0</v>
      </c>
      <c r="R59" s="38" t="n">
        <f aca="false">IF(D59/30&gt;=0.7,3,IF(D59/30&gt;=0.5,2,IF(D59/30&gt;=0.35,1,0)))</f>
        <v>0</v>
      </c>
      <c r="S59" s="38" t="n">
        <f aca="false">IF(E59/30&gt;=0.7,3,IF(E59/30&gt;=0.5,2,IF(E59/30&gt;=0.35,1,0)))</f>
        <v>0</v>
      </c>
      <c r="T59" s="38" t="n">
        <f aca="false">IF(H59/30&gt;=0.7,3,IF(H59/30&gt;=0.5,2,IF(H59/30&gt;=0.35,1,0)))</f>
        <v>0</v>
      </c>
      <c r="U59" s="38" t="n">
        <f aca="false">IF(I59/30&gt;=0.7,3,IF(I59/30&gt;=0.5,2,IF(I59/30&gt;=0.35,1,0)))</f>
        <v>0</v>
      </c>
      <c r="V59" s="38"/>
      <c r="W59" s="38"/>
      <c r="X59" s="38"/>
      <c r="Y59" s="38"/>
      <c r="Z59" s="38" t="n">
        <f aca="false">G59+K59+L59+M59+N59+O59+P59</f>
        <v>0</v>
      </c>
      <c r="AA59" s="38" t="n">
        <f aca="false">IFERROR(AVERAGE(R59:U59),0)</f>
        <v>0</v>
      </c>
    </row>
    <row r="60" customFormat="false" ht="15" hidden="false" customHeight="true" outlineLevel="0" collapsed="false">
      <c r="A60" s="35" t="n">
        <v>47</v>
      </c>
      <c r="B60" s="35" t="n">
        <f aca="false">'Mid &amp; Assgn - A'!B63</f>
        <v>0</v>
      </c>
      <c r="C60" s="35" t="n">
        <f aca="false">'Mid &amp; Assgn - A'!C63</f>
        <v>0</v>
      </c>
      <c r="D60" s="36" t="n">
        <f aca="false">IFERROR(SUM('Mid &amp; Assgn - A'!D63:I63),0)</f>
        <v>0</v>
      </c>
      <c r="E60" s="36" t="n">
        <f aca="false">IFERROR(SUM('Mid &amp; Assgn - A'!J63:M63),0)</f>
        <v>0</v>
      </c>
      <c r="F60" s="36" t="n">
        <f aca="false">D60+E60</f>
        <v>0</v>
      </c>
      <c r="G60" s="36" t="n">
        <f aca="false">IFERROR(ROUND(F60/30*15,2),0)</f>
        <v>0</v>
      </c>
      <c r="H60" s="36" t="n">
        <f aca="false">IFERROR(SUM('Mid &amp; Assgn - A'!N63:S63),0)</f>
        <v>0</v>
      </c>
      <c r="I60" s="36" t="n">
        <f aca="false">IFERROR(SUM('Mid &amp; Assgn - A'!T63:Y63),0)</f>
        <v>0</v>
      </c>
      <c r="J60" s="36" t="n">
        <f aca="false">H60+I60</f>
        <v>0</v>
      </c>
      <c r="K60" s="36" t="n">
        <f aca="false">IFERROR(ROUND(J60/30*15,2),0)</f>
        <v>0</v>
      </c>
      <c r="L60" s="36" t="n">
        <f aca="false">'Mid &amp; Assgn - A'!Z63</f>
        <v>0</v>
      </c>
      <c r="M60" s="36" t="n">
        <f aca="false">'Mid &amp; Assgn - A'!AA63</f>
        <v>0</v>
      </c>
      <c r="N60" s="36" t="n">
        <f aca="false">'Mid &amp; Assgn - A'!AB63</f>
        <v>0</v>
      </c>
      <c r="O60" s="36" t="n">
        <f aca="false">'Mid &amp; Assgn - A'!AC63</f>
        <v>0</v>
      </c>
      <c r="P60" s="36" t="n">
        <f aca="false">'Mid &amp; Assgn - A'!AD63</f>
        <v>0</v>
      </c>
      <c r="Q60" s="36" t="n">
        <f aca="false">'Mid &amp; Assgn - A'!AE63</f>
        <v>0</v>
      </c>
      <c r="R60" s="36" t="n">
        <f aca="false">IF(D60/30&gt;=0.7,3,IF(D60/30&gt;=0.5,2,IF(D60/30&gt;=0.35,1,0)))</f>
        <v>0</v>
      </c>
      <c r="S60" s="36" t="n">
        <f aca="false">IF(E60/30&gt;=0.7,3,IF(E60/30&gt;=0.5,2,IF(E60/30&gt;=0.35,1,0)))</f>
        <v>0</v>
      </c>
      <c r="T60" s="36" t="n">
        <f aca="false">IF(H60/30&gt;=0.7,3,IF(H60/30&gt;=0.5,2,IF(H60/30&gt;=0.35,1,0)))</f>
        <v>0</v>
      </c>
      <c r="U60" s="36" t="n">
        <f aca="false">IF(I60/30&gt;=0.7,3,IF(I60/30&gt;=0.5,2,IF(I60/30&gt;=0.35,1,0)))</f>
        <v>0</v>
      </c>
      <c r="V60" s="36"/>
      <c r="W60" s="36"/>
      <c r="X60" s="36"/>
      <c r="Y60" s="36"/>
      <c r="Z60" s="36" t="n">
        <f aca="false">G60+K60+L60+M60+N60+O60+P60</f>
        <v>0</v>
      </c>
      <c r="AA60" s="36" t="n">
        <f aca="false">IFERROR(AVERAGE(R60:U60),0)</f>
        <v>0</v>
      </c>
    </row>
    <row r="61" customFormat="false" ht="15" hidden="false" customHeight="true" outlineLevel="0" collapsed="false">
      <c r="A61" s="37" t="n">
        <v>48</v>
      </c>
      <c r="B61" s="37" t="n">
        <f aca="false">'Mid &amp; Assgn - A'!B64</f>
        <v>0</v>
      </c>
      <c r="C61" s="37" t="n">
        <f aca="false">'Mid &amp; Assgn - A'!C64</f>
        <v>0</v>
      </c>
      <c r="D61" s="38" t="n">
        <f aca="false">IFERROR(SUM('Mid &amp; Assgn - A'!D64:I64),0)</f>
        <v>0</v>
      </c>
      <c r="E61" s="38" t="n">
        <f aca="false">IFERROR(SUM('Mid &amp; Assgn - A'!J64:M64),0)</f>
        <v>0</v>
      </c>
      <c r="F61" s="38" t="n">
        <f aca="false">D61+E61</f>
        <v>0</v>
      </c>
      <c r="G61" s="38" t="n">
        <f aca="false">IFERROR(ROUND(F61/30*15,2),0)</f>
        <v>0</v>
      </c>
      <c r="H61" s="38" t="n">
        <f aca="false">IFERROR(SUM('Mid &amp; Assgn - A'!N64:S64),0)</f>
        <v>0</v>
      </c>
      <c r="I61" s="38" t="n">
        <f aca="false">IFERROR(SUM('Mid &amp; Assgn - A'!T64:Y64),0)</f>
        <v>0</v>
      </c>
      <c r="J61" s="38" t="n">
        <f aca="false">H61+I61</f>
        <v>0</v>
      </c>
      <c r="K61" s="38" t="n">
        <f aca="false">IFERROR(ROUND(J61/30*15,2),0)</f>
        <v>0</v>
      </c>
      <c r="L61" s="38" t="n">
        <f aca="false">'Mid &amp; Assgn - A'!Z64</f>
        <v>0</v>
      </c>
      <c r="M61" s="38" t="n">
        <f aca="false">'Mid &amp; Assgn - A'!AA64</f>
        <v>0</v>
      </c>
      <c r="N61" s="38" t="n">
        <f aca="false">'Mid &amp; Assgn - A'!AB64</f>
        <v>0</v>
      </c>
      <c r="O61" s="38" t="n">
        <f aca="false">'Mid &amp; Assgn - A'!AC64</f>
        <v>0</v>
      </c>
      <c r="P61" s="38" t="n">
        <f aca="false">'Mid &amp; Assgn - A'!AD64</f>
        <v>0</v>
      </c>
      <c r="Q61" s="38" t="n">
        <f aca="false">'Mid &amp; Assgn - A'!AE64</f>
        <v>0</v>
      </c>
      <c r="R61" s="38" t="n">
        <f aca="false">IF(D61/30&gt;=0.7,3,IF(D61/30&gt;=0.5,2,IF(D61/30&gt;=0.35,1,0)))</f>
        <v>0</v>
      </c>
      <c r="S61" s="38" t="n">
        <f aca="false">IF(E61/30&gt;=0.7,3,IF(E61/30&gt;=0.5,2,IF(E61/30&gt;=0.35,1,0)))</f>
        <v>0</v>
      </c>
      <c r="T61" s="38" t="n">
        <f aca="false">IF(H61/30&gt;=0.7,3,IF(H61/30&gt;=0.5,2,IF(H61/30&gt;=0.35,1,0)))</f>
        <v>0</v>
      </c>
      <c r="U61" s="38" t="n">
        <f aca="false">IF(I61/30&gt;=0.7,3,IF(I61/30&gt;=0.5,2,IF(I61/30&gt;=0.35,1,0)))</f>
        <v>0</v>
      </c>
      <c r="V61" s="38"/>
      <c r="W61" s="38"/>
      <c r="X61" s="38"/>
      <c r="Y61" s="38"/>
      <c r="Z61" s="38" t="n">
        <f aca="false">G61+K61+L61+M61+N61+O61+P61</f>
        <v>0</v>
      </c>
      <c r="AA61" s="38" t="n">
        <f aca="false">IFERROR(AVERAGE(R61:U61),0)</f>
        <v>0</v>
      </c>
    </row>
    <row r="62" customFormat="false" ht="15" hidden="false" customHeight="true" outlineLevel="0" collapsed="false">
      <c r="A62" s="35" t="n">
        <v>49</v>
      </c>
      <c r="B62" s="35" t="n">
        <f aca="false">'Mid &amp; Assgn - A'!B65</f>
        <v>0</v>
      </c>
      <c r="C62" s="35" t="n">
        <f aca="false">'Mid &amp; Assgn - A'!C65</f>
        <v>0</v>
      </c>
      <c r="D62" s="36" t="n">
        <f aca="false">IFERROR(SUM('Mid &amp; Assgn - A'!D65:I65),0)</f>
        <v>0</v>
      </c>
      <c r="E62" s="36" t="n">
        <f aca="false">IFERROR(SUM('Mid &amp; Assgn - A'!J65:M65),0)</f>
        <v>0</v>
      </c>
      <c r="F62" s="36" t="n">
        <f aca="false">D62+E62</f>
        <v>0</v>
      </c>
      <c r="G62" s="36" t="n">
        <f aca="false">IFERROR(ROUND(F62/30*15,2),0)</f>
        <v>0</v>
      </c>
      <c r="H62" s="36" t="n">
        <f aca="false">IFERROR(SUM('Mid &amp; Assgn - A'!N65:S65),0)</f>
        <v>0</v>
      </c>
      <c r="I62" s="36" t="n">
        <f aca="false">IFERROR(SUM('Mid &amp; Assgn - A'!T65:Y65),0)</f>
        <v>0</v>
      </c>
      <c r="J62" s="36" t="n">
        <f aca="false">H62+I62</f>
        <v>0</v>
      </c>
      <c r="K62" s="36" t="n">
        <f aca="false">IFERROR(ROUND(J62/30*15,2),0)</f>
        <v>0</v>
      </c>
      <c r="L62" s="36" t="n">
        <f aca="false">'Mid &amp; Assgn - A'!Z65</f>
        <v>0</v>
      </c>
      <c r="M62" s="36" t="n">
        <f aca="false">'Mid &amp; Assgn - A'!AA65</f>
        <v>0</v>
      </c>
      <c r="N62" s="36" t="n">
        <f aca="false">'Mid &amp; Assgn - A'!AB65</f>
        <v>0</v>
      </c>
      <c r="O62" s="36" t="n">
        <f aca="false">'Mid &amp; Assgn - A'!AC65</f>
        <v>0</v>
      </c>
      <c r="P62" s="36" t="n">
        <f aca="false">'Mid &amp; Assgn - A'!AD65</f>
        <v>0</v>
      </c>
      <c r="Q62" s="36" t="n">
        <f aca="false">'Mid &amp; Assgn - A'!AE65</f>
        <v>0</v>
      </c>
      <c r="R62" s="36" t="n">
        <f aca="false">IF(D62/30&gt;=0.7,3,IF(D62/30&gt;=0.5,2,IF(D62/30&gt;=0.35,1,0)))</f>
        <v>0</v>
      </c>
      <c r="S62" s="36" t="n">
        <f aca="false">IF(E62/30&gt;=0.7,3,IF(E62/30&gt;=0.5,2,IF(E62/30&gt;=0.35,1,0)))</f>
        <v>0</v>
      </c>
      <c r="T62" s="36" t="n">
        <f aca="false">IF(H62/30&gt;=0.7,3,IF(H62/30&gt;=0.5,2,IF(H62/30&gt;=0.35,1,0)))</f>
        <v>0</v>
      </c>
      <c r="U62" s="36" t="n">
        <f aca="false">IF(I62/30&gt;=0.7,3,IF(I62/30&gt;=0.5,2,IF(I62/30&gt;=0.35,1,0)))</f>
        <v>0</v>
      </c>
      <c r="V62" s="36"/>
      <c r="W62" s="36"/>
      <c r="X62" s="36"/>
      <c r="Y62" s="36"/>
      <c r="Z62" s="36" t="n">
        <f aca="false">G62+K62+L62+M62+N62+O62+P62</f>
        <v>0</v>
      </c>
      <c r="AA62" s="36" t="n">
        <f aca="false">IFERROR(AVERAGE(R62:U62),0)</f>
        <v>0</v>
      </c>
    </row>
    <row r="63" customFormat="false" ht="15" hidden="false" customHeight="true" outlineLevel="0" collapsed="false">
      <c r="A63" s="37" t="n">
        <v>50</v>
      </c>
      <c r="B63" s="37" t="n">
        <f aca="false">'Mid &amp; Assgn - A'!B66</f>
        <v>0</v>
      </c>
      <c r="C63" s="37" t="n">
        <f aca="false">'Mid &amp; Assgn - A'!C66</f>
        <v>0</v>
      </c>
      <c r="D63" s="38" t="n">
        <f aca="false">IFERROR(SUM('Mid &amp; Assgn - A'!D66:I66),0)</f>
        <v>0</v>
      </c>
      <c r="E63" s="38" t="n">
        <f aca="false">IFERROR(SUM('Mid &amp; Assgn - A'!J66:M66),0)</f>
        <v>0</v>
      </c>
      <c r="F63" s="38" t="n">
        <f aca="false">D63+E63</f>
        <v>0</v>
      </c>
      <c r="G63" s="38" t="n">
        <f aca="false">IFERROR(ROUND(F63/30*15,2),0)</f>
        <v>0</v>
      </c>
      <c r="H63" s="38" t="n">
        <f aca="false">IFERROR(SUM('Mid &amp; Assgn - A'!N66:S66),0)</f>
        <v>0</v>
      </c>
      <c r="I63" s="38" t="n">
        <f aca="false">IFERROR(SUM('Mid &amp; Assgn - A'!T66:Y66),0)</f>
        <v>0</v>
      </c>
      <c r="J63" s="38" t="n">
        <f aca="false">H63+I63</f>
        <v>0</v>
      </c>
      <c r="K63" s="38" t="n">
        <f aca="false">IFERROR(ROUND(J63/30*15,2),0)</f>
        <v>0</v>
      </c>
      <c r="L63" s="38" t="n">
        <f aca="false">'Mid &amp; Assgn - A'!Z66</f>
        <v>0</v>
      </c>
      <c r="M63" s="38" t="n">
        <f aca="false">'Mid &amp; Assgn - A'!AA66</f>
        <v>0</v>
      </c>
      <c r="N63" s="38" t="n">
        <f aca="false">'Mid &amp; Assgn - A'!AB66</f>
        <v>0</v>
      </c>
      <c r="O63" s="38" t="n">
        <f aca="false">'Mid &amp; Assgn - A'!AC66</f>
        <v>0</v>
      </c>
      <c r="P63" s="38" t="n">
        <f aca="false">'Mid &amp; Assgn - A'!AD66</f>
        <v>0</v>
      </c>
      <c r="Q63" s="38" t="n">
        <f aca="false">'Mid &amp; Assgn - A'!AE66</f>
        <v>0</v>
      </c>
      <c r="R63" s="38" t="n">
        <f aca="false">IF(D63/30&gt;=0.7,3,IF(D63/30&gt;=0.5,2,IF(D63/30&gt;=0.35,1,0)))</f>
        <v>0</v>
      </c>
      <c r="S63" s="38" t="n">
        <f aca="false">IF(E63/30&gt;=0.7,3,IF(E63/30&gt;=0.5,2,IF(E63/30&gt;=0.35,1,0)))</f>
        <v>0</v>
      </c>
      <c r="T63" s="38" t="n">
        <f aca="false">IF(H63/30&gt;=0.7,3,IF(H63/30&gt;=0.5,2,IF(H63/30&gt;=0.35,1,0)))</f>
        <v>0</v>
      </c>
      <c r="U63" s="38" t="n">
        <f aca="false">IF(I63/30&gt;=0.7,3,IF(I63/30&gt;=0.5,2,IF(I63/30&gt;=0.35,1,0)))</f>
        <v>0</v>
      </c>
      <c r="V63" s="38"/>
      <c r="W63" s="38"/>
      <c r="X63" s="38"/>
      <c r="Y63" s="38"/>
      <c r="Z63" s="38" t="n">
        <f aca="false">G63+K63+L63+M63+N63+O63+P63</f>
        <v>0</v>
      </c>
      <c r="AA63" s="38" t="n">
        <f aca="false">IFERROR(AVERAGE(R63:U63),0)</f>
        <v>0</v>
      </c>
    </row>
    <row r="64" customFormat="false" ht="15" hidden="false" customHeight="true" outlineLevel="0" collapsed="false">
      <c r="A64" s="35" t="n">
        <v>51</v>
      </c>
      <c r="B64" s="35" t="n">
        <f aca="false">'Mid &amp; Assgn - A'!B67</f>
        <v>0</v>
      </c>
      <c r="C64" s="35" t="n">
        <f aca="false">'Mid &amp; Assgn - A'!C67</f>
        <v>0</v>
      </c>
      <c r="D64" s="36" t="n">
        <f aca="false">IFERROR(SUM('Mid &amp; Assgn - A'!D67:I67),0)</f>
        <v>0</v>
      </c>
      <c r="E64" s="36" t="n">
        <f aca="false">IFERROR(SUM('Mid &amp; Assgn - A'!J67:M67),0)</f>
        <v>0</v>
      </c>
      <c r="F64" s="36" t="n">
        <f aca="false">D64+E64</f>
        <v>0</v>
      </c>
      <c r="G64" s="36" t="n">
        <f aca="false">IFERROR(ROUND(F64/30*15,2),0)</f>
        <v>0</v>
      </c>
      <c r="H64" s="36" t="n">
        <f aca="false">IFERROR(SUM('Mid &amp; Assgn - A'!N67:S67),0)</f>
        <v>0</v>
      </c>
      <c r="I64" s="36" t="n">
        <f aca="false">IFERROR(SUM('Mid &amp; Assgn - A'!T67:Y67),0)</f>
        <v>0</v>
      </c>
      <c r="J64" s="36" t="n">
        <f aca="false">H64+I64</f>
        <v>0</v>
      </c>
      <c r="K64" s="36" t="n">
        <f aca="false">IFERROR(ROUND(J64/30*15,2),0)</f>
        <v>0</v>
      </c>
      <c r="L64" s="36" t="n">
        <f aca="false">'Mid &amp; Assgn - A'!Z67</f>
        <v>0</v>
      </c>
      <c r="M64" s="36" t="n">
        <f aca="false">'Mid &amp; Assgn - A'!AA67</f>
        <v>0</v>
      </c>
      <c r="N64" s="36" t="n">
        <f aca="false">'Mid &amp; Assgn - A'!AB67</f>
        <v>0</v>
      </c>
      <c r="O64" s="36" t="n">
        <f aca="false">'Mid &amp; Assgn - A'!AC67</f>
        <v>0</v>
      </c>
      <c r="P64" s="36" t="n">
        <f aca="false">'Mid &amp; Assgn - A'!AD67</f>
        <v>0</v>
      </c>
      <c r="Q64" s="36" t="n">
        <f aca="false">'Mid &amp; Assgn - A'!AE67</f>
        <v>0</v>
      </c>
      <c r="R64" s="36" t="n">
        <f aca="false">IF(D64/30&gt;=0.7,3,IF(D64/30&gt;=0.5,2,IF(D64/30&gt;=0.35,1,0)))</f>
        <v>0</v>
      </c>
      <c r="S64" s="36" t="n">
        <f aca="false">IF(E64/30&gt;=0.7,3,IF(E64/30&gt;=0.5,2,IF(E64/30&gt;=0.35,1,0)))</f>
        <v>0</v>
      </c>
      <c r="T64" s="36" t="n">
        <f aca="false">IF(H64/30&gt;=0.7,3,IF(H64/30&gt;=0.5,2,IF(H64/30&gt;=0.35,1,0)))</f>
        <v>0</v>
      </c>
      <c r="U64" s="36" t="n">
        <f aca="false">IF(I64/30&gt;=0.7,3,IF(I64/30&gt;=0.5,2,IF(I64/30&gt;=0.35,1,0)))</f>
        <v>0</v>
      </c>
      <c r="V64" s="36"/>
      <c r="W64" s="36"/>
      <c r="X64" s="36"/>
      <c r="Y64" s="36"/>
      <c r="Z64" s="36" t="n">
        <f aca="false">G64+K64+L64+M64+N64+O64+P64</f>
        <v>0</v>
      </c>
      <c r="AA64" s="36" t="n">
        <f aca="false">IFERROR(AVERAGE(R64:U64),0)</f>
        <v>0</v>
      </c>
    </row>
    <row r="65" customFormat="false" ht="15" hidden="false" customHeight="true" outlineLevel="0" collapsed="false">
      <c r="A65" s="37" t="n">
        <v>52</v>
      </c>
      <c r="B65" s="37" t="n">
        <f aca="false">'Mid &amp; Assgn - A'!B68</f>
        <v>0</v>
      </c>
      <c r="C65" s="37" t="n">
        <f aca="false">'Mid &amp; Assgn - A'!C68</f>
        <v>0</v>
      </c>
      <c r="D65" s="38" t="n">
        <f aca="false">IFERROR(SUM('Mid &amp; Assgn - A'!D68:I68),0)</f>
        <v>0</v>
      </c>
      <c r="E65" s="38" t="n">
        <f aca="false">IFERROR(SUM('Mid &amp; Assgn - A'!J68:M68),0)</f>
        <v>0</v>
      </c>
      <c r="F65" s="38" t="n">
        <f aca="false">D65+E65</f>
        <v>0</v>
      </c>
      <c r="G65" s="38" t="n">
        <f aca="false">IFERROR(ROUND(F65/30*15,2),0)</f>
        <v>0</v>
      </c>
      <c r="H65" s="38" t="n">
        <f aca="false">IFERROR(SUM('Mid &amp; Assgn - A'!N68:S68),0)</f>
        <v>0</v>
      </c>
      <c r="I65" s="38" t="n">
        <f aca="false">IFERROR(SUM('Mid &amp; Assgn - A'!T68:Y68),0)</f>
        <v>0</v>
      </c>
      <c r="J65" s="38" t="n">
        <f aca="false">H65+I65</f>
        <v>0</v>
      </c>
      <c r="K65" s="38" t="n">
        <f aca="false">IFERROR(ROUND(J65/30*15,2),0)</f>
        <v>0</v>
      </c>
      <c r="L65" s="38" t="n">
        <f aca="false">'Mid &amp; Assgn - A'!Z68</f>
        <v>0</v>
      </c>
      <c r="M65" s="38" t="n">
        <f aca="false">'Mid &amp; Assgn - A'!AA68</f>
        <v>0</v>
      </c>
      <c r="N65" s="38" t="n">
        <f aca="false">'Mid &amp; Assgn - A'!AB68</f>
        <v>0</v>
      </c>
      <c r="O65" s="38" t="n">
        <f aca="false">'Mid &amp; Assgn - A'!AC68</f>
        <v>0</v>
      </c>
      <c r="P65" s="38" t="n">
        <f aca="false">'Mid &amp; Assgn - A'!AD68</f>
        <v>0</v>
      </c>
      <c r="Q65" s="38" t="n">
        <f aca="false">'Mid &amp; Assgn - A'!AE68</f>
        <v>0</v>
      </c>
      <c r="R65" s="38" t="n">
        <f aca="false">IF(D65/30&gt;=0.7,3,IF(D65/30&gt;=0.5,2,IF(D65/30&gt;=0.35,1,0)))</f>
        <v>0</v>
      </c>
      <c r="S65" s="38" t="n">
        <f aca="false">IF(E65/30&gt;=0.7,3,IF(E65/30&gt;=0.5,2,IF(E65/30&gt;=0.35,1,0)))</f>
        <v>0</v>
      </c>
      <c r="T65" s="38" t="n">
        <f aca="false">IF(H65/30&gt;=0.7,3,IF(H65/30&gt;=0.5,2,IF(H65/30&gt;=0.35,1,0)))</f>
        <v>0</v>
      </c>
      <c r="U65" s="38" t="n">
        <f aca="false">IF(I65/30&gt;=0.7,3,IF(I65/30&gt;=0.5,2,IF(I65/30&gt;=0.35,1,0)))</f>
        <v>0</v>
      </c>
      <c r="V65" s="38"/>
      <c r="W65" s="38"/>
      <c r="X65" s="38"/>
      <c r="Y65" s="38"/>
      <c r="Z65" s="38" t="n">
        <f aca="false">G65+K65+L65+M65+N65+O65+P65</f>
        <v>0</v>
      </c>
      <c r="AA65" s="38" t="n">
        <f aca="false">IFERROR(AVERAGE(R65:U65),0)</f>
        <v>0</v>
      </c>
    </row>
    <row r="66" customFormat="false" ht="15" hidden="false" customHeight="true" outlineLevel="0" collapsed="false">
      <c r="A66" s="35" t="n">
        <v>53</v>
      </c>
      <c r="B66" s="35" t="n">
        <f aca="false">'Mid &amp; Assgn - A'!B69</f>
        <v>0</v>
      </c>
      <c r="C66" s="35" t="n">
        <f aca="false">'Mid &amp; Assgn - A'!C69</f>
        <v>0</v>
      </c>
      <c r="D66" s="36" t="n">
        <f aca="false">IFERROR(SUM('Mid &amp; Assgn - A'!D69:I69),0)</f>
        <v>0</v>
      </c>
      <c r="E66" s="36" t="n">
        <f aca="false">IFERROR(SUM('Mid &amp; Assgn - A'!J69:M69),0)</f>
        <v>0</v>
      </c>
      <c r="F66" s="36" t="n">
        <f aca="false">D66+E66</f>
        <v>0</v>
      </c>
      <c r="G66" s="36" t="n">
        <f aca="false">IFERROR(ROUND(F66/30*15,2),0)</f>
        <v>0</v>
      </c>
      <c r="H66" s="36" t="n">
        <f aca="false">IFERROR(SUM('Mid &amp; Assgn - A'!N69:S69),0)</f>
        <v>0</v>
      </c>
      <c r="I66" s="36" t="n">
        <f aca="false">IFERROR(SUM('Mid &amp; Assgn - A'!T69:Y69),0)</f>
        <v>0</v>
      </c>
      <c r="J66" s="36" t="n">
        <f aca="false">H66+I66</f>
        <v>0</v>
      </c>
      <c r="K66" s="36" t="n">
        <f aca="false">IFERROR(ROUND(J66/30*15,2),0)</f>
        <v>0</v>
      </c>
      <c r="L66" s="36" t="n">
        <f aca="false">'Mid &amp; Assgn - A'!Z69</f>
        <v>0</v>
      </c>
      <c r="M66" s="36" t="n">
        <f aca="false">'Mid &amp; Assgn - A'!AA69</f>
        <v>0</v>
      </c>
      <c r="N66" s="36" t="n">
        <f aca="false">'Mid &amp; Assgn - A'!AB69</f>
        <v>0</v>
      </c>
      <c r="O66" s="36" t="n">
        <f aca="false">'Mid &amp; Assgn - A'!AC69</f>
        <v>0</v>
      </c>
      <c r="P66" s="36" t="n">
        <f aca="false">'Mid &amp; Assgn - A'!AD69</f>
        <v>0</v>
      </c>
      <c r="Q66" s="36" t="n">
        <f aca="false">'Mid &amp; Assgn - A'!AE69</f>
        <v>0</v>
      </c>
      <c r="R66" s="36" t="n">
        <f aca="false">IF(D66/30&gt;=0.7,3,IF(D66/30&gt;=0.5,2,IF(D66/30&gt;=0.35,1,0)))</f>
        <v>0</v>
      </c>
      <c r="S66" s="36" t="n">
        <f aca="false">IF(E66/30&gt;=0.7,3,IF(E66/30&gt;=0.5,2,IF(E66/30&gt;=0.35,1,0)))</f>
        <v>0</v>
      </c>
      <c r="T66" s="36" t="n">
        <f aca="false">IF(H66/30&gt;=0.7,3,IF(H66/30&gt;=0.5,2,IF(H66/30&gt;=0.35,1,0)))</f>
        <v>0</v>
      </c>
      <c r="U66" s="36" t="n">
        <f aca="false">IF(I66/30&gt;=0.7,3,IF(I66/30&gt;=0.5,2,IF(I66/30&gt;=0.35,1,0)))</f>
        <v>0</v>
      </c>
      <c r="V66" s="36"/>
      <c r="W66" s="36"/>
      <c r="X66" s="36"/>
      <c r="Y66" s="36"/>
      <c r="Z66" s="36" t="n">
        <f aca="false">G66+K66+L66+M66+N66+O66+P66</f>
        <v>0</v>
      </c>
      <c r="AA66" s="36" t="n">
        <f aca="false">IFERROR(AVERAGE(R66:U66),0)</f>
        <v>0</v>
      </c>
    </row>
    <row r="67" customFormat="false" ht="15" hidden="false" customHeight="true" outlineLevel="0" collapsed="false">
      <c r="A67" s="37" t="n">
        <v>54</v>
      </c>
      <c r="B67" s="37" t="n">
        <f aca="false">'Mid &amp; Assgn - A'!B70</f>
        <v>0</v>
      </c>
      <c r="C67" s="37" t="n">
        <f aca="false">'Mid &amp; Assgn - A'!C70</f>
        <v>0</v>
      </c>
      <c r="D67" s="38" t="n">
        <f aca="false">IFERROR(SUM('Mid &amp; Assgn - A'!D70:I70),0)</f>
        <v>0</v>
      </c>
      <c r="E67" s="38" t="n">
        <f aca="false">IFERROR(SUM('Mid &amp; Assgn - A'!J70:M70),0)</f>
        <v>0</v>
      </c>
      <c r="F67" s="38" t="n">
        <f aca="false">D67+E67</f>
        <v>0</v>
      </c>
      <c r="G67" s="38" t="n">
        <f aca="false">IFERROR(ROUND(F67/30*15,2),0)</f>
        <v>0</v>
      </c>
      <c r="H67" s="38" t="n">
        <f aca="false">IFERROR(SUM('Mid &amp; Assgn - A'!N70:S70),0)</f>
        <v>0</v>
      </c>
      <c r="I67" s="38" t="n">
        <f aca="false">IFERROR(SUM('Mid &amp; Assgn - A'!T70:Y70),0)</f>
        <v>0</v>
      </c>
      <c r="J67" s="38" t="n">
        <f aca="false">H67+I67</f>
        <v>0</v>
      </c>
      <c r="K67" s="38" t="n">
        <f aca="false">IFERROR(ROUND(J67/30*15,2),0)</f>
        <v>0</v>
      </c>
      <c r="L67" s="38" t="n">
        <f aca="false">'Mid &amp; Assgn - A'!Z70</f>
        <v>0</v>
      </c>
      <c r="M67" s="38" t="n">
        <f aca="false">'Mid &amp; Assgn - A'!AA70</f>
        <v>0</v>
      </c>
      <c r="N67" s="38" t="n">
        <f aca="false">'Mid &amp; Assgn - A'!AB70</f>
        <v>0</v>
      </c>
      <c r="O67" s="38" t="n">
        <f aca="false">'Mid &amp; Assgn - A'!AC70</f>
        <v>0</v>
      </c>
      <c r="P67" s="38" t="n">
        <f aca="false">'Mid &amp; Assgn - A'!AD70</f>
        <v>0</v>
      </c>
      <c r="Q67" s="38" t="n">
        <f aca="false">'Mid &amp; Assgn - A'!AE70</f>
        <v>0</v>
      </c>
      <c r="R67" s="38" t="n">
        <f aca="false">IF(D67/30&gt;=0.7,3,IF(D67/30&gt;=0.5,2,IF(D67/30&gt;=0.35,1,0)))</f>
        <v>0</v>
      </c>
      <c r="S67" s="38" t="n">
        <f aca="false">IF(E67/30&gt;=0.7,3,IF(E67/30&gt;=0.5,2,IF(E67/30&gt;=0.35,1,0)))</f>
        <v>0</v>
      </c>
      <c r="T67" s="38" t="n">
        <f aca="false">IF(H67/30&gt;=0.7,3,IF(H67/30&gt;=0.5,2,IF(H67/30&gt;=0.35,1,0)))</f>
        <v>0</v>
      </c>
      <c r="U67" s="38" t="n">
        <f aca="false">IF(I67/30&gt;=0.7,3,IF(I67/30&gt;=0.5,2,IF(I67/30&gt;=0.35,1,0)))</f>
        <v>0</v>
      </c>
      <c r="V67" s="38"/>
      <c r="W67" s="38"/>
      <c r="X67" s="38"/>
      <c r="Y67" s="38"/>
      <c r="Z67" s="38" t="n">
        <f aca="false">G67+K67+L67+M67+N67+O67+P67</f>
        <v>0</v>
      </c>
      <c r="AA67" s="38" t="n">
        <f aca="false">IFERROR(AVERAGE(R67:U67),0)</f>
        <v>0</v>
      </c>
    </row>
    <row r="68" customFormat="false" ht="15" hidden="false" customHeight="true" outlineLevel="0" collapsed="false">
      <c r="A68" s="35" t="n">
        <v>55</v>
      </c>
      <c r="B68" s="35" t="n">
        <f aca="false">'Mid &amp; Assgn - A'!B71</f>
        <v>0</v>
      </c>
      <c r="C68" s="35" t="n">
        <f aca="false">'Mid &amp; Assgn - A'!C71</f>
        <v>0</v>
      </c>
      <c r="D68" s="36" t="n">
        <f aca="false">IFERROR(SUM('Mid &amp; Assgn - A'!D71:I71),0)</f>
        <v>0</v>
      </c>
      <c r="E68" s="36" t="n">
        <f aca="false">IFERROR(SUM('Mid &amp; Assgn - A'!J71:M71),0)</f>
        <v>0</v>
      </c>
      <c r="F68" s="36" t="n">
        <f aca="false">D68+E68</f>
        <v>0</v>
      </c>
      <c r="G68" s="36" t="n">
        <f aca="false">IFERROR(ROUND(F68/30*15,2),0)</f>
        <v>0</v>
      </c>
      <c r="H68" s="36" t="n">
        <f aca="false">IFERROR(SUM('Mid &amp; Assgn - A'!N71:S71),0)</f>
        <v>0</v>
      </c>
      <c r="I68" s="36" t="n">
        <f aca="false">IFERROR(SUM('Mid &amp; Assgn - A'!T71:Y71),0)</f>
        <v>0</v>
      </c>
      <c r="J68" s="36" t="n">
        <f aca="false">H68+I68</f>
        <v>0</v>
      </c>
      <c r="K68" s="36" t="n">
        <f aca="false">IFERROR(ROUND(J68/30*15,2),0)</f>
        <v>0</v>
      </c>
      <c r="L68" s="36" t="n">
        <f aca="false">'Mid &amp; Assgn - A'!Z71</f>
        <v>0</v>
      </c>
      <c r="M68" s="36" t="n">
        <f aca="false">'Mid &amp; Assgn - A'!AA71</f>
        <v>0</v>
      </c>
      <c r="N68" s="36" t="n">
        <f aca="false">'Mid &amp; Assgn - A'!AB71</f>
        <v>0</v>
      </c>
      <c r="O68" s="36" t="n">
        <f aca="false">'Mid &amp; Assgn - A'!AC71</f>
        <v>0</v>
      </c>
      <c r="P68" s="36" t="n">
        <f aca="false">'Mid &amp; Assgn - A'!AD71</f>
        <v>0</v>
      </c>
      <c r="Q68" s="36" t="n">
        <f aca="false">'Mid &amp; Assgn - A'!AE71</f>
        <v>0</v>
      </c>
      <c r="R68" s="36" t="n">
        <f aca="false">IF(D68/30&gt;=0.7,3,IF(D68/30&gt;=0.5,2,IF(D68/30&gt;=0.35,1,0)))</f>
        <v>0</v>
      </c>
      <c r="S68" s="36" t="n">
        <f aca="false">IF(E68/30&gt;=0.7,3,IF(E68/30&gt;=0.5,2,IF(E68/30&gt;=0.35,1,0)))</f>
        <v>0</v>
      </c>
      <c r="T68" s="36" t="n">
        <f aca="false">IF(H68/30&gt;=0.7,3,IF(H68/30&gt;=0.5,2,IF(H68/30&gt;=0.35,1,0)))</f>
        <v>0</v>
      </c>
      <c r="U68" s="36" t="n">
        <f aca="false">IF(I68/30&gt;=0.7,3,IF(I68/30&gt;=0.5,2,IF(I68/30&gt;=0.35,1,0)))</f>
        <v>0</v>
      </c>
      <c r="V68" s="36"/>
      <c r="W68" s="36"/>
      <c r="X68" s="36"/>
      <c r="Y68" s="36"/>
      <c r="Z68" s="36" t="n">
        <f aca="false">G68+K68+L68+M68+N68+O68+P68</f>
        <v>0</v>
      </c>
      <c r="AA68" s="36" t="n">
        <f aca="false">IFERROR(AVERAGE(R68:U68),0)</f>
        <v>0</v>
      </c>
    </row>
    <row r="69" customFormat="false" ht="15" hidden="false" customHeight="true" outlineLevel="0" collapsed="false">
      <c r="A69" s="37" t="n">
        <v>56</v>
      </c>
      <c r="B69" s="37" t="n">
        <f aca="false">'Mid &amp; Assgn - A'!B72</f>
        <v>0</v>
      </c>
      <c r="C69" s="37" t="n">
        <f aca="false">'Mid &amp; Assgn - A'!C72</f>
        <v>0</v>
      </c>
      <c r="D69" s="38" t="n">
        <f aca="false">IFERROR(SUM('Mid &amp; Assgn - A'!D72:I72),0)</f>
        <v>0</v>
      </c>
      <c r="E69" s="38" t="n">
        <f aca="false">IFERROR(SUM('Mid &amp; Assgn - A'!J72:M72),0)</f>
        <v>0</v>
      </c>
      <c r="F69" s="38" t="n">
        <f aca="false">D69+E69</f>
        <v>0</v>
      </c>
      <c r="G69" s="38" t="n">
        <f aca="false">IFERROR(ROUND(F69/30*15,2),0)</f>
        <v>0</v>
      </c>
      <c r="H69" s="38" t="n">
        <f aca="false">IFERROR(SUM('Mid &amp; Assgn - A'!N72:S72),0)</f>
        <v>0</v>
      </c>
      <c r="I69" s="38" t="n">
        <f aca="false">IFERROR(SUM('Mid &amp; Assgn - A'!T72:Y72),0)</f>
        <v>0</v>
      </c>
      <c r="J69" s="38" t="n">
        <f aca="false">H69+I69</f>
        <v>0</v>
      </c>
      <c r="K69" s="38" t="n">
        <f aca="false">IFERROR(ROUND(J69/30*15,2),0)</f>
        <v>0</v>
      </c>
      <c r="L69" s="38" t="n">
        <f aca="false">'Mid &amp; Assgn - A'!Z72</f>
        <v>0</v>
      </c>
      <c r="M69" s="38" t="n">
        <f aca="false">'Mid &amp; Assgn - A'!AA72</f>
        <v>0</v>
      </c>
      <c r="N69" s="38" t="n">
        <f aca="false">'Mid &amp; Assgn - A'!AB72</f>
        <v>0</v>
      </c>
      <c r="O69" s="38" t="n">
        <f aca="false">'Mid &amp; Assgn - A'!AC72</f>
        <v>0</v>
      </c>
      <c r="P69" s="38" t="n">
        <f aca="false">'Mid &amp; Assgn - A'!AD72</f>
        <v>0</v>
      </c>
      <c r="Q69" s="38" t="n">
        <f aca="false">'Mid &amp; Assgn - A'!AE72</f>
        <v>0</v>
      </c>
      <c r="R69" s="38" t="n">
        <f aca="false">IF(D69/30&gt;=0.7,3,IF(D69/30&gt;=0.5,2,IF(D69/30&gt;=0.35,1,0)))</f>
        <v>0</v>
      </c>
      <c r="S69" s="38" t="n">
        <f aca="false">IF(E69/30&gt;=0.7,3,IF(E69/30&gt;=0.5,2,IF(E69/30&gt;=0.35,1,0)))</f>
        <v>0</v>
      </c>
      <c r="T69" s="38" t="n">
        <f aca="false">IF(H69/30&gt;=0.7,3,IF(H69/30&gt;=0.5,2,IF(H69/30&gt;=0.35,1,0)))</f>
        <v>0</v>
      </c>
      <c r="U69" s="38" t="n">
        <f aca="false">IF(I69/30&gt;=0.7,3,IF(I69/30&gt;=0.5,2,IF(I69/30&gt;=0.35,1,0)))</f>
        <v>0</v>
      </c>
      <c r="V69" s="38"/>
      <c r="W69" s="38"/>
      <c r="X69" s="38"/>
      <c r="Y69" s="38"/>
      <c r="Z69" s="38" t="n">
        <f aca="false">G69+K69+L69+M69+N69+O69+P69</f>
        <v>0</v>
      </c>
      <c r="AA69" s="38" t="n">
        <f aca="false">IFERROR(AVERAGE(R69:U69),0)</f>
        <v>0</v>
      </c>
    </row>
    <row r="70" customFormat="false" ht="15" hidden="false" customHeight="true" outlineLevel="0" collapsed="false">
      <c r="A70" s="35" t="n">
        <v>57</v>
      </c>
      <c r="B70" s="35" t="n">
        <f aca="false">'Mid &amp; Assgn - A'!B73</f>
        <v>0</v>
      </c>
      <c r="C70" s="35" t="n">
        <f aca="false">'Mid &amp; Assgn - A'!C73</f>
        <v>0</v>
      </c>
      <c r="D70" s="36" t="n">
        <f aca="false">IFERROR(SUM('Mid &amp; Assgn - A'!D73:I73),0)</f>
        <v>0</v>
      </c>
      <c r="E70" s="36" t="n">
        <f aca="false">IFERROR(SUM('Mid &amp; Assgn - A'!J73:M73),0)</f>
        <v>0</v>
      </c>
      <c r="F70" s="36" t="n">
        <f aca="false">D70+E70</f>
        <v>0</v>
      </c>
      <c r="G70" s="36" t="n">
        <f aca="false">IFERROR(ROUND(F70/30*15,2),0)</f>
        <v>0</v>
      </c>
      <c r="H70" s="36" t="n">
        <f aca="false">IFERROR(SUM('Mid &amp; Assgn - A'!N73:S73),0)</f>
        <v>0</v>
      </c>
      <c r="I70" s="36" t="n">
        <f aca="false">IFERROR(SUM('Mid &amp; Assgn - A'!T73:Y73),0)</f>
        <v>0</v>
      </c>
      <c r="J70" s="36" t="n">
        <f aca="false">H70+I70</f>
        <v>0</v>
      </c>
      <c r="K70" s="36" t="n">
        <f aca="false">IFERROR(ROUND(J70/30*15,2),0)</f>
        <v>0</v>
      </c>
      <c r="L70" s="36" t="n">
        <f aca="false">'Mid &amp; Assgn - A'!Z73</f>
        <v>0</v>
      </c>
      <c r="M70" s="36" t="n">
        <f aca="false">'Mid &amp; Assgn - A'!AA73</f>
        <v>0</v>
      </c>
      <c r="N70" s="36" t="n">
        <f aca="false">'Mid &amp; Assgn - A'!AB73</f>
        <v>0</v>
      </c>
      <c r="O70" s="36" t="n">
        <f aca="false">'Mid &amp; Assgn - A'!AC73</f>
        <v>0</v>
      </c>
      <c r="P70" s="36" t="n">
        <f aca="false">'Mid &amp; Assgn - A'!AD73</f>
        <v>0</v>
      </c>
      <c r="Q70" s="36" t="n">
        <f aca="false">'Mid &amp; Assgn - A'!AE73</f>
        <v>0</v>
      </c>
      <c r="R70" s="36" t="n">
        <f aca="false">IF(D70/30&gt;=0.7,3,IF(D70/30&gt;=0.5,2,IF(D70/30&gt;=0.35,1,0)))</f>
        <v>0</v>
      </c>
      <c r="S70" s="36" t="n">
        <f aca="false">IF(E70/30&gt;=0.7,3,IF(E70/30&gt;=0.5,2,IF(E70/30&gt;=0.35,1,0)))</f>
        <v>0</v>
      </c>
      <c r="T70" s="36" t="n">
        <f aca="false">IF(H70/30&gt;=0.7,3,IF(H70/30&gt;=0.5,2,IF(H70/30&gt;=0.35,1,0)))</f>
        <v>0</v>
      </c>
      <c r="U70" s="36" t="n">
        <f aca="false">IF(I70/30&gt;=0.7,3,IF(I70/30&gt;=0.5,2,IF(I70/30&gt;=0.35,1,0)))</f>
        <v>0</v>
      </c>
      <c r="V70" s="36"/>
      <c r="W70" s="36"/>
      <c r="X70" s="36"/>
      <c r="Y70" s="36"/>
      <c r="Z70" s="36" t="n">
        <f aca="false">G70+K70+L70+M70+N70+O70+P70</f>
        <v>0</v>
      </c>
      <c r="AA70" s="36" t="n">
        <f aca="false">IFERROR(AVERAGE(R70:U70),0)</f>
        <v>0</v>
      </c>
    </row>
    <row r="71" customFormat="false" ht="15" hidden="false" customHeight="true" outlineLevel="0" collapsed="false">
      <c r="A71" s="37" t="n">
        <v>58</v>
      </c>
      <c r="B71" s="37" t="n">
        <f aca="false">'Mid &amp; Assgn - A'!B74</f>
        <v>0</v>
      </c>
      <c r="C71" s="37" t="n">
        <f aca="false">'Mid &amp; Assgn - A'!C74</f>
        <v>0</v>
      </c>
      <c r="D71" s="38" t="n">
        <f aca="false">IFERROR(SUM('Mid &amp; Assgn - A'!D74:I74),0)</f>
        <v>0</v>
      </c>
      <c r="E71" s="38" t="n">
        <f aca="false">IFERROR(SUM('Mid &amp; Assgn - A'!J74:M74),0)</f>
        <v>0</v>
      </c>
      <c r="F71" s="38" t="n">
        <f aca="false">D71+E71</f>
        <v>0</v>
      </c>
      <c r="G71" s="38" t="n">
        <f aca="false">IFERROR(ROUND(F71/30*15,2),0)</f>
        <v>0</v>
      </c>
      <c r="H71" s="38" t="n">
        <f aca="false">IFERROR(SUM('Mid &amp; Assgn - A'!N74:S74),0)</f>
        <v>0</v>
      </c>
      <c r="I71" s="38" t="n">
        <f aca="false">IFERROR(SUM('Mid &amp; Assgn - A'!T74:Y74),0)</f>
        <v>0</v>
      </c>
      <c r="J71" s="38" t="n">
        <f aca="false">H71+I71</f>
        <v>0</v>
      </c>
      <c r="K71" s="38" t="n">
        <f aca="false">IFERROR(ROUND(J71/30*15,2),0)</f>
        <v>0</v>
      </c>
      <c r="L71" s="38" t="n">
        <f aca="false">'Mid &amp; Assgn - A'!Z74</f>
        <v>0</v>
      </c>
      <c r="M71" s="38" t="n">
        <f aca="false">'Mid &amp; Assgn - A'!AA74</f>
        <v>0</v>
      </c>
      <c r="N71" s="38" t="n">
        <f aca="false">'Mid &amp; Assgn - A'!AB74</f>
        <v>0</v>
      </c>
      <c r="O71" s="38" t="n">
        <f aca="false">'Mid &amp; Assgn - A'!AC74</f>
        <v>0</v>
      </c>
      <c r="P71" s="38" t="n">
        <f aca="false">'Mid &amp; Assgn - A'!AD74</f>
        <v>0</v>
      </c>
      <c r="Q71" s="38" t="n">
        <f aca="false">'Mid &amp; Assgn - A'!AE74</f>
        <v>0</v>
      </c>
      <c r="R71" s="38" t="n">
        <f aca="false">IF(D71/30&gt;=0.7,3,IF(D71/30&gt;=0.5,2,IF(D71/30&gt;=0.35,1,0)))</f>
        <v>0</v>
      </c>
      <c r="S71" s="38" t="n">
        <f aca="false">IF(E71/30&gt;=0.7,3,IF(E71/30&gt;=0.5,2,IF(E71/30&gt;=0.35,1,0)))</f>
        <v>0</v>
      </c>
      <c r="T71" s="38" t="n">
        <f aca="false">IF(H71/30&gt;=0.7,3,IF(H71/30&gt;=0.5,2,IF(H71/30&gt;=0.35,1,0)))</f>
        <v>0</v>
      </c>
      <c r="U71" s="38" t="n">
        <f aca="false">IF(I71/30&gt;=0.7,3,IF(I71/30&gt;=0.5,2,IF(I71/30&gt;=0.35,1,0)))</f>
        <v>0</v>
      </c>
      <c r="V71" s="38"/>
      <c r="W71" s="38"/>
      <c r="X71" s="38"/>
      <c r="Y71" s="38"/>
      <c r="Z71" s="38" t="n">
        <f aca="false">G71+K71+L71+M71+N71+O71+P71</f>
        <v>0</v>
      </c>
      <c r="AA71" s="38" t="n">
        <f aca="false">IFERROR(AVERAGE(R71:U71),0)</f>
        <v>0</v>
      </c>
    </row>
    <row r="72" customFormat="false" ht="15" hidden="false" customHeight="true" outlineLevel="0" collapsed="false">
      <c r="A72" s="35" t="n">
        <v>59</v>
      </c>
      <c r="B72" s="35" t="n">
        <f aca="false">'Mid &amp; Assgn - A'!B75</f>
        <v>0</v>
      </c>
      <c r="C72" s="35" t="n">
        <f aca="false">'Mid &amp; Assgn - A'!C75</f>
        <v>0</v>
      </c>
      <c r="D72" s="36" t="n">
        <f aca="false">IFERROR(SUM('Mid &amp; Assgn - A'!D75:I75),0)</f>
        <v>0</v>
      </c>
      <c r="E72" s="36" t="n">
        <f aca="false">IFERROR(SUM('Mid &amp; Assgn - A'!J75:M75),0)</f>
        <v>0</v>
      </c>
      <c r="F72" s="36" t="n">
        <f aca="false">D72+E72</f>
        <v>0</v>
      </c>
      <c r="G72" s="36" t="n">
        <f aca="false">IFERROR(ROUND(F72/30*15,2),0)</f>
        <v>0</v>
      </c>
      <c r="H72" s="36" t="n">
        <f aca="false">IFERROR(SUM('Mid &amp; Assgn - A'!N75:S75),0)</f>
        <v>0</v>
      </c>
      <c r="I72" s="36" t="n">
        <f aca="false">IFERROR(SUM('Mid &amp; Assgn - A'!T75:Y75),0)</f>
        <v>0</v>
      </c>
      <c r="J72" s="36" t="n">
        <f aca="false">H72+I72</f>
        <v>0</v>
      </c>
      <c r="K72" s="36" t="n">
        <f aca="false">IFERROR(ROUND(J72/30*15,2),0)</f>
        <v>0</v>
      </c>
      <c r="L72" s="36" t="n">
        <f aca="false">'Mid &amp; Assgn - A'!Z75</f>
        <v>0</v>
      </c>
      <c r="M72" s="36" t="n">
        <f aca="false">'Mid &amp; Assgn - A'!AA75</f>
        <v>0</v>
      </c>
      <c r="N72" s="36" t="n">
        <f aca="false">'Mid &amp; Assgn - A'!AB75</f>
        <v>0</v>
      </c>
      <c r="O72" s="36" t="n">
        <f aca="false">'Mid &amp; Assgn - A'!AC75</f>
        <v>0</v>
      </c>
      <c r="P72" s="36" t="n">
        <f aca="false">'Mid &amp; Assgn - A'!AD75</f>
        <v>0</v>
      </c>
      <c r="Q72" s="36" t="n">
        <f aca="false">'Mid &amp; Assgn - A'!AE75</f>
        <v>0</v>
      </c>
      <c r="R72" s="36" t="n">
        <f aca="false">IF(D72/30&gt;=0.7,3,IF(D72/30&gt;=0.5,2,IF(D72/30&gt;=0.35,1,0)))</f>
        <v>0</v>
      </c>
      <c r="S72" s="36" t="n">
        <f aca="false">IF(E72/30&gt;=0.7,3,IF(E72/30&gt;=0.5,2,IF(E72/30&gt;=0.35,1,0)))</f>
        <v>0</v>
      </c>
      <c r="T72" s="36" t="n">
        <f aca="false">IF(H72/30&gt;=0.7,3,IF(H72/30&gt;=0.5,2,IF(H72/30&gt;=0.35,1,0)))</f>
        <v>0</v>
      </c>
      <c r="U72" s="36" t="n">
        <f aca="false">IF(I72/30&gt;=0.7,3,IF(I72/30&gt;=0.5,2,IF(I72/30&gt;=0.35,1,0)))</f>
        <v>0</v>
      </c>
      <c r="V72" s="36"/>
      <c r="W72" s="36"/>
      <c r="X72" s="36"/>
      <c r="Y72" s="36"/>
      <c r="Z72" s="36" t="n">
        <f aca="false">G72+K72+L72+M72+N72+O72+P72</f>
        <v>0</v>
      </c>
      <c r="AA72" s="36" t="n">
        <f aca="false">IFERROR(AVERAGE(R72:U72),0)</f>
        <v>0</v>
      </c>
    </row>
    <row r="73" customFormat="false" ht="15" hidden="false" customHeight="true" outlineLevel="0" collapsed="false">
      <c r="A73" s="37" t="n">
        <v>60</v>
      </c>
      <c r="B73" s="37" t="n">
        <f aca="false">'Mid &amp; Assgn - A'!B76</f>
        <v>0</v>
      </c>
      <c r="C73" s="37" t="n">
        <f aca="false">'Mid &amp; Assgn - A'!C76</f>
        <v>0</v>
      </c>
      <c r="D73" s="38" t="n">
        <f aca="false">IFERROR(SUM('Mid &amp; Assgn - A'!D76:I76),0)</f>
        <v>0</v>
      </c>
      <c r="E73" s="38" t="n">
        <f aca="false">IFERROR(SUM('Mid &amp; Assgn - A'!J76:M76),0)</f>
        <v>0</v>
      </c>
      <c r="F73" s="38" t="n">
        <f aca="false">D73+E73</f>
        <v>0</v>
      </c>
      <c r="G73" s="38" t="n">
        <f aca="false">IFERROR(ROUND(F73/30*15,2),0)</f>
        <v>0</v>
      </c>
      <c r="H73" s="38" t="n">
        <f aca="false">IFERROR(SUM('Mid &amp; Assgn - A'!N76:S76),0)</f>
        <v>0</v>
      </c>
      <c r="I73" s="38" t="n">
        <f aca="false">IFERROR(SUM('Mid &amp; Assgn - A'!T76:Y76),0)</f>
        <v>0</v>
      </c>
      <c r="J73" s="38" t="n">
        <f aca="false">H73+I73</f>
        <v>0</v>
      </c>
      <c r="K73" s="38" t="n">
        <f aca="false">IFERROR(ROUND(J73/30*15,2),0)</f>
        <v>0</v>
      </c>
      <c r="L73" s="38" t="n">
        <f aca="false">'Mid &amp; Assgn - A'!Z76</f>
        <v>0</v>
      </c>
      <c r="M73" s="38" t="n">
        <f aca="false">'Mid &amp; Assgn - A'!AA76</f>
        <v>0</v>
      </c>
      <c r="N73" s="38" t="n">
        <f aca="false">'Mid &amp; Assgn - A'!AB76</f>
        <v>0</v>
      </c>
      <c r="O73" s="38" t="n">
        <f aca="false">'Mid &amp; Assgn - A'!AC76</f>
        <v>0</v>
      </c>
      <c r="P73" s="38" t="n">
        <f aca="false">'Mid &amp; Assgn - A'!AD76</f>
        <v>0</v>
      </c>
      <c r="Q73" s="38" t="n">
        <f aca="false">'Mid &amp; Assgn - A'!AE76</f>
        <v>0</v>
      </c>
      <c r="R73" s="38" t="n">
        <f aca="false">IF(D73/30&gt;=0.7,3,IF(D73/30&gt;=0.5,2,IF(D73/30&gt;=0.35,1,0)))</f>
        <v>0</v>
      </c>
      <c r="S73" s="38" t="n">
        <f aca="false">IF(E73/30&gt;=0.7,3,IF(E73/30&gt;=0.5,2,IF(E73/30&gt;=0.35,1,0)))</f>
        <v>0</v>
      </c>
      <c r="T73" s="38" t="n">
        <f aca="false">IF(H73/30&gt;=0.7,3,IF(H73/30&gt;=0.5,2,IF(H73/30&gt;=0.35,1,0)))</f>
        <v>0</v>
      </c>
      <c r="U73" s="38" t="n">
        <f aca="false">IF(I73/30&gt;=0.7,3,IF(I73/30&gt;=0.5,2,IF(I73/30&gt;=0.35,1,0)))</f>
        <v>0</v>
      </c>
      <c r="V73" s="38"/>
      <c r="W73" s="38"/>
      <c r="X73" s="38"/>
      <c r="Y73" s="38"/>
      <c r="Z73" s="38" t="n">
        <f aca="false">G73+K73+L73+M73+N73+O73+P73</f>
        <v>0</v>
      </c>
      <c r="AA73" s="38" t="n">
        <f aca="false">IFERROR(AVERAGE(R73:U73),0)</f>
        <v>0</v>
      </c>
    </row>
    <row r="74" customFormat="false" ht="15" hidden="false" customHeight="true" outlineLevel="0" collapsed="false">
      <c r="A74" s="35" t="n">
        <v>61</v>
      </c>
      <c r="B74" s="35" t="n">
        <f aca="false">'Mid &amp; Assgn - A'!B77</f>
        <v>0</v>
      </c>
      <c r="C74" s="35" t="n">
        <f aca="false">'Mid &amp; Assgn - A'!C77</f>
        <v>0</v>
      </c>
      <c r="D74" s="36" t="n">
        <f aca="false">IFERROR(SUM('Mid &amp; Assgn - A'!D77:I77),0)</f>
        <v>0</v>
      </c>
      <c r="E74" s="36" t="n">
        <f aca="false">IFERROR(SUM('Mid &amp; Assgn - A'!J77:M77),0)</f>
        <v>0</v>
      </c>
      <c r="F74" s="36" t="n">
        <f aca="false">D74+E74</f>
        <v>0</v>
      </c>
      <c r="G74" s="36" t="n">
        <f aca="false">IFERROR(ROUND(F74/30*15,2),0)</f>
        <v>0</v>
      </c>
      <c r="H74" s="36" t="n">
        <f aca="false">IFERROR(SUM('Mid &amp; Assgn - A'!N77:S77),0)</f>
        <v>0</v>
      </c>
      <c r="I74" s="36" t="n">
        <f aca="false">IFERROR(SUM('Mid &amp; Assgn - A'!T77:Y77),0)</f>
        <v>0</v>
      </c>
      <c r="J74" s="36" t="n">
        <f aca="false">H74+I74</f>
        <v>0</v>
      </c>
      <c r="K74" s="36" t="n">
        <f aca="false">IFERROR(ROUND(J74/30*15,2),0)</f>
        <v>0</v>
      </c>
      <c r="L74" s="36" t="n">
        <f aca="false">'Mid &amp; Assgn - A'!Z77</f>
        <v>0</v>
      </c>
      <c r="M74" s="36" t="n">
        <f aca="false">'Mid &amp; Assgn - A'!AA77</f>
        <v>0</v>
      </c>
      <c r="N74" s="36" t="n">
        <f aca="false">'Mid &amp; Assgn - A'!AB77</f>
        <v>0</v>
      </c>
      <c r="O74" s="36" t="n">
        <f aca="false">'Mid &amp; Assgn - A'!AC77</f>
        <v>0</v>
      </c>
      <c r="P74" s="36" t="n">
        <f aca="false">'Mid &amp; Assgn - A'!AD77</f>
        <v>0</v>
      </c>
      <c r="Q74" s="36" t="n">
        <f aca="false">'Mid &amp; Assgn - A'!AE77</f>
        <v>0</v>
      </c>
      <c r="R74" s="36" t="n">
        <f aca="false">IF(D74/30&gt;=0.7,3,IF(D74/30&gt;=0.5,2,IF(D74/30&gt;=0.35,1,0)))</f>
        <v>0</v>
      </c>
      <c r="S74" s="36" t="n">
        <f aca="false">IF(E74/30&gt;=0.7,3,IF(E74/30&gt;=0.5,2,IF(E74/30&gt;=0.35,1,0)))</f>
        <v>0</v>
      </c>
      <c r="T74" s="36" t="n">
        <f aca="false">IF(H74/30&gt;=0.7,3,IF(H74/30&gt;=0.5,2,IF(H74/30&gt;=0.35,1,0)))</f>
        <v>0</v>
      </c>
      <c r="U74" s="36" t="n">
        <f aca="false">IF(I74/30&gt;=0.7,3,IF(I74/30&gt;=0.5,2,IF(I74/30&gt;=0.35,1,0)))</f>
        <v>0</v>
      </c>
      <c r="V74" s="36"/>
      <c r="W74" s="36"/>
      <c r="X74" s="36"/>
      <c r="Y74" s="36"/>
      <c r="Z74" s="36" t="n">
        <f aca="false">G74+K74+L74+M74+N74+O74+P74</f>
        <v>0</v>
      </c>
      <c r="AA74" s="36" t="n">
        <f aca="false">IFERROR(AVERAGE(R74:U74),0)</f>
        <v>0</v>
      </c>
    </row>
    <row r="75" customFormat="false" ht="15" hidden="false" customHeight="true" outlineLevel="0" collapsed="false">
      <c r="A75" s="37" t="n">
        <v>62</v>
      </c>
      <c r="B75" s="37" t="n">
        <f aca="false">'Mid &amp; Assgn - A'!B78</f>
        <v>0</v>
      </c>
      <c r="C75" s="37" t="n">
        <f aca="false">'Mid &amp; Assgn - A'!C78</f>
        <v>0</v>
      </c>
      <c r="D75" s="38" t="n">
        <f aca="false">IFERROR(SUM('Mid &amp; Assgn - A'!D78:I78),0)</f>
        <v>0</v>
      </c>
      <c r="E75" s="38" t="n">
        <f aca="false">IFERROR(SUM('Mid &amp; Assgn - A'!J78:M78),0)</f>
        <v>0</v>
      </c>
      <c r="F75" s="38" t="n">
        <f aca="false">D75+E75</f>
        <v>0</v>
      </c>
      <c r="G75" s="38" t="n">
        <f aca="false">IFERROR(ROUND(F75/30*15,2),0)</f>
        <v>0</v>
      </c>
      <c r="H75" s="38" t="n">
        <f aca="false">IFERROR(SUM('Mid &amp; Assgn - A'!N78:S78),0)</f>
        <v>0</v>
      </c>
      <c r="I75" s="38" t="n">
        <f aca="false">IFERROR(SUM('Mid &amp; Assgn - A'!T78:Y78),0)</f>
        <v>0</v>
      </c>
      <c r="J75" s="38" t="n">
        <f aca="false">H75+I75</f>
        <v>0</v>
      </c>
      <c r="K75" s="38" t="n">
        <f aca="false">IFERROR(ROUND(J75/30*15,2),0)</f>
        <v>0</v>
      </c>
      <c r="L75" s="38" t="n">
        <f aca="false">'Mid &amp; Assgn - A'!Z78</f>
        <v>0</v>
      </c>
      <c r="M75" s="38" t="n">
        <f aca="false">'Mid &amp; Assgn - A'!AA78</f>
        <v>0</v>
      </c>
      <c r="N75" s="38" t="n">
        <f aca="false">'Mid &amp; Assgn - A'!AB78</f>
        <v>0</v>
      </c>
      <c r="O75" s="38" t="n">
        <f aca="false">'Mid &amp; Assgn - A'!AC78</f>
        <v>0</v>
      </c>
      <c r="P75" s="38" t="n">
        <f aca="false">'Mid &amp; Assgn - A'!AD78</f>
        <v>0</v>
      </c>
      <c r="Q75" s="38" t="n">
        <f aca="false">'Mid &amp; Assgn - A'!AE78</f>
        <v>0</v>
      </c>
      <c r="R75" s="38" t="n">
        <f aca="false">IF(D75/30&gt;=0.7,3,IF(D75/30&gt;=0.5,2,IF(D75/30&gt;=0.35,1,0)))</f>
        <v>0</v>
      </c>
      <c r="S75" s="38" t="n">
        <f aca="false">IF(E75/30&gt;=0.7,3,IF(E75/30&gt;=0.5,2,IF(E75/30&gt;=0.35,1,0)))</f>
        <v>0</v>
      </c>
      <c r="T75" s="38" t="n">
        <f aca="false">IF(H75/30&gt;=0.7,3,IF(H75/30&gt;=0.5,2,IF(H75/30&gt;=0.35,1,0)))</f>
        <v>0</v>
      </c>
      <c r="U75" s="38" t="n">
        <f aca="false">IF(I75/30&gt;=0.7,3,IF(I75/30&gt;=0.5,2,IF(I75/30&gt;=0.35,1,0)))</f>
        <v>0</v>
      </c>
      <c r="V75" s="38"/>
      <c r="W75" s="38"/>
      <c r="X75" s="38"/>
      <c r="Y75" s="38"/>
      <c r="Z75" s="38" t="n">
        <f aca="false">G75+K75+L75+M75+N75+O75+P75</f>
        <v>0</v>
      </c>
      <c r="AA75" s="38" t="n">
        <f aca="false">IFERROR(AVERAGE(R75:U75),0)</f>
        <v>0</v>
      </c>
    </row>
    <row r="76" customFormat="false" ht="15" hidden="false" customHeight="true" outlineLevel="0" collapsed="false">
      <c r="A76" s="35" t="n">
        <v>63</v>
      </c>
      <c r="B76" s="35" t="n">
        <f aca="false">'Mid &amp; Assgn - A'!B79</f>
        <v>0</v>
      </c>
      <c r="C76" s="35" t="n">
        <f aca="false">'Mid &amp; Assgn - A'!C79</f>
        <v>0</v>
      </c>
      <c r="D76" s="36" t="n">
        <f aca="false">IFERROR(SUM('Mid &amp; Assgn - A'!D79:I79),0)</f>
        <v>0</v>
      </c>
      <c r="E76" s="36" t="n">
        <f aca="false">IFERROR(SUM('Mid &amp; Assgn - A'!J79:M79),0)</f>
        <v>0</v>
      </c>
      <c r="F76" s="36" t="n">
        <f aca="false">D76+E76</f>
        <v>0</v>
      </c>
      <c r="G76" s="36" t="n">
        <f aca="false">IFERROR(ROUND(F76/30*15,2),0)</f>
        <v>0</v>
      </c>
      <c r="H76" s="36" t="n">
        <f aca="false">IFERROR(SUM('Mid &amp; Assgn - A'!N79:S79),0)</f>
        <v>0</v>
      </c>
      <c r="I76" s="36" t="n">
        <f aca="false">IFERROR(SUM('Mid &amp; Assgn - A'!T79:Y79),0)</f>
        <v>0</v>
      </c>
      <c r="J76" s="36" t="n">
        <f aca="false">H76+I76</f>
        <v>0</v>
      </c>
      <c r="K76" s="36" t="n">
        <f aca="false">IFERROR(ROUND(J76/30*15,2),0)</f>
        <v>0</v>
      </c>
      <c r="L76" s="36" t="n">
        <f aca="false">'Mid &amp; Assgn - A'!Z79</f>
        <v>0</v>
      </c>
      <c r="M76" s="36" t="n">
        <f aca="false">'Mid &amp; Assgn - A'!AA79</f>
        <v>0</v>
      </c>
      <c r="N76" s="36" t="n">
        <f aca="false">'Mid &amp; Assgn - A'!AB79</f>
        <v>0</v>
      </c>
      <c r="O76" s="36" t="n">
        <f aca="false">'Mid &amp; Assgn - A'!AC79</f>
        <v>0</v>
      </c>
      <c r="P76" s="36" t="n">
        <f aca="false">'Mid &amp; Assgn - A'!AD79</f>
        <v>0</v>
      </c>
      <c r="Q76" s="36" t="n">
        <f aca="false">'Mid &amp; Assgn - A'!AE79</f>
        <v>0</v>
      </c>
      <c r="R76" s="36" t="n">
        <f aca="false">IF(D76/30&gt;=0.7,3,IF(D76/30&gt;=0.5,2,IF(D76/30&gt;=0.35,1,0)))</f>
        <v>0</v>
      </c>
      <c r="S76" s="36" t="n">
        <f aca="false">IF(E76/30&gt;=0.7,3,IF(E76/30&gt;=0.5,2,IF(E76/30&gt;=0.35,1,0)))</f>
        <v>0</v>
      </c>
      <c r="T76" s="36" t="n">
        <f aca="false">IF(H76/30&gt;=0.7,3,IF(H76/30&gt;=0.5,2,IF(H76/30&gt;=0.35,1,0)))</f>
        <v>0</v>
      </c>
      <c r="U76" s="36" t="n">
        <f aca="false">IF(I76/30&gt;=0.7,3,IF(I76/30&gt;=0.5,2,IF(I76/30&gt;=0.35,1,0)))</f>
        <v>0</v>
      </c>
      <c r="V76" s="36"/>
      <c r="W76" s="36"/>
      <c r="X76" s="36"/>
      <c r="Y76" s="36"/>
      <c r="Z76" s="36" t="n">
        <f aca="false">G76+K76+L76+M76+N76+O76+P76</f>
        <v>0</v>
      </c>
      <c r="AA76" s="36" t="n">
        <f aca="false">IFERROR(AVERAGE(R76:U76),0)</f>
        <v>0</v>
      </c>
    </row>
    <row r="77" customFormat="false" ht="15" hidden="false" customHeight="true" outlineLevel="0" collapsed="false">
      <c r="A77" s="37" t="n">
        <v>64</v>
      </c>
      <c r="B77" s="37" t="n">
        <f aca="false">'Mid &amp; Assgn - A'!B80</f>
        <v>0</v>
      </c>
      <c r="C77" s="37" t="n">
        <f aca="false">'Mid &amp; Assgn - A'!C80</f>
        <v>0</v>
      </c>
      <c r="D77" s="38" t="n">
        <f aca="false">IFERROR(SUM('Mid &amp; Assgn - A'!D80:I80),0)</f>
        <v>0</v>
      </c>
      <c r="E77" s="38" t="n">
        <f aca="false">IFERROR(SUM('Mid &amp; Assgn - A'!J80:M80),0)</f>
        <v>0</v>
      </c>
      <c r="F77" s="38" t="n">
        <f aca="false">D77+E77</f>
        <v>0</v>
      </c>
      <c r="G77" s="38" t="n">
        <f aca="false">IFERROR(ROUND(F77/30*15,2),0)</f>
        <v>0</v>
      </c>
      <c r="H77" s="38" t="n">
        <f aca="false">IFERROR(SUM('Mid &amp; Assgn - A'!N80:S80),0)</f>
        <v>0</v>
      </c>
      <c r="I77" s="38" t="n">
        <f aca="false">IFERROR(SUM('Mid &amp; Assgn - A'!T80:Y80),0)</f>
        <v>0</v>
      </c>
      <c r="J77" s="38" t="n">
        <f aca="false">H77+I77</f>
        <v>0</v>
      </c>
      <c r="K77" s="38" t="n">
        <f aca="false">IFERROR(ROUND(J77/30*15,2),0)</f>
        <v>0</v>
      </c>
      <c r="L77" s="38" t="n">
        <f aca="false">'Mid &amp; Assgn - A'!Z80</f>
        <v>0</v>
      </c>
      <c r="M77" s="38" t="n">
        <f aca="false">'Mid &amp; Assgn - A'!AA80</f>
        <v>0</v>
      </c>
      <c r="N77" s="38" t="n">
        <f aca="false">'Mid &amp; Assgn - A'!AB80</f>
        <v>0</v>
      </c>
      <c r="O77" s="38" t="n">
        <f aca="false">'Mid &amp; Assgn - A'!AC80</f>
        <v>0</v>
      </c>
      <c r="P77" s="38" t="n">
        <f aca="false">'Mid &amp; Assgn - A'!AD80</f>
        <v>0</v>
      </c>
      <c r="Q77" s="38" t="n">
        <f aca="false">'Mid &amp; Assgn - A'!AE80</f>
        <v>0</v>
      </c>
      <c r="R77" s="38" t="n">
        <f aca="false">IF(D77/30&gt;=0.7,3,IF(D77/30&gt;=0.5,2,IF(D77/30&gt;=0.35,1,0)))</f>
        <v>0</v>
      </c>
      <c r="S77" s="38" t="n">
        <f aca="false">IF(E77/30&gt;=0.7,3,IF(E77/30&gt;=0.5,2,IF(E77/30&gt;=0.35,1,0)))</f>
        <v>0</v>
      </c>
      <c r="T77" s="38" t="n">
        <f aca="false">IF(H77/30&gt;=0.7,3,IF(H77/30&gt;=0.5,2,IF(H77/30&gt;=0.35,1,0)))</f>
        <v>0</v>
      </c>
      <c r="U77" s="38" t="n">
        <f aca="false">IF(I77/30&gt;=0.7,3,IF(I77/30&gt;=0.5,2,IF(I77/30&gt;=0.35,1,0)))</f>
        <v>0</v>
      </c>
      <c r="V77" s="38"/>
      <c r="W77" s="38"/>
      <c r="X77" s="38"/>
      <c r="Y77" s="38"/>
      <c r="Z77" s="38" t="n">
        <f aca="false">G77+K77+L77+M77+N77+O77+P77</f>
        <v>0</v>
      </c>
      <c r="AA77" s="38" t="n">
        <f aca="false">IFERROR(AVERAGE(R77:U77),0)</f>
        <v>0</v>
      </c>
    </row>
    <row r="78" customFormat="false" ht="15" hidden="false" customHeight="true" outlineLevel="0" collapsed="false">
      <c r="A78" s="35" t="n">
        <v>65</v>
      </c>
      <c r="B78" s="35" t="n">
        <f aca="false">'Mid &amp; Assgn - A'!B81</f>
        <v>0</v>
      </c>
      <c r="C78" s="35" t="n">
        <f aca="false">'Mid &amp; Assgn - A'!C81</f>
        <v>0</v>
      </c>
      <c r="D78" s="36" t="n">
        <f aca="false">IFERROR(SUM('Mid &amp; Assgn - A'!D81:I81),0)</f>
        <v>0</v>
      </c>
      <c r="E78" s="36" t="n">
        <f aca="false">IFERROR(SUM('Mid &amp; Assgn - A'!J81:M81),0)</f>
        <v>0</v>
      </c>
      <c r="F78" s="36" t="n">
        <f aca="false">D78+E78</f>
        <v>0</v>
      </c>
      <c r="G78" s="36" t="n">
        <f aca="false">IFERROR(ROUND(F78/30*15,2),0)</f>
        <v>0</v>
      </c>
      <c r="H78" s="36" t="n">
        <f aca="false">IFERROR(SUM('Mid &amp; Assgn - A'!N81:S81),0)</f>
        <v>0</v>
      </c>
      <c r="I78" s="36" t="n">
        <f aca="false">IFERROR(SUM('Mid &amp; Assgn - A'!T81:Y81),0)</f>
        <v>0</v>
      </c>
      <c r="J78" s="36" t="n">
        <f aca="false">H78+I78</f>
        <v>0</v>
      </c>
      <c r="K78" s="36" t="n">
        <f aca="false">IFERROR(ROUND(J78/30*15,2),0)</f>
        <v>0</v>
      </c>
      <c r="L78" s="36" t="n">
        <f aca="false">'Mid &amp; Assgn - A'!Z81</f>
        <v>0</v>
      </c>
      <c r="M78" s="36" t="n">
        <f aca="false">'Mid &amp; Assgn - A'!AA81</f>
        <v>0</v>
      </c>
      <c r="N78" s="36" t="n">
        <f aca="false">'Mid &amp; Assgn - A'!AB81</f>
        <v>0</v>
      </c>
      <c r="O78" s="36" t="n">
        <f aca="false">'Mid &amp; Assgn - A'!AC81</f>
        <v>0</v>
      </c>
      <c r="P78" s="36" t="n">
        <f aca="false">'Mid &amp; Assgn - A'!AD81</f>
        <v>0</v>
      </c>
      <c r="Q78" s="36" t="n">
        <f aca="false">'Mid &amp; Assgn - A'!AE81</f>
        <v>0</v>
      </c>
      <c r="R78" s="36" t="n">
        <f aca="false">IF(D78/30&gt;=0.7,3,IF(D78/30&gt;=0.5,2,IF(D78/30&gt;=0.35,1,0)))</f>
        <v>0</v>
      </c>
      <c r="S78" s="36" t="n">
        <f aca="false">IF(E78/30&gt;=0.7,3,IF(E78/30&gt;=0.5,2,IF(E78/30&gt;=0.35,1,0)))</f>
        <v>0</v>
      </c>
      <c r="T78" s="36" t="n">
        <f aca="false">IF(H78/30&gt;=0.7,3,IF(H78/30&gt;=0.5,2,IF(H78/30&gt;=0.35,1,0)))</f>
        <v>0</v>
      </c>
      <c r="U78" s="36" t="n">
        <f aca="false">IF(I78/30&gt;=0.7,3,IF(I78/30&gt;=0.5,2,IF(I78/30&gt;=0.35,1,0)))</f>
        <v>0</v>
      </c>
      <c r="V78" s="36"/>
      <c r="W78" s="36"/>
      <c r="X78" s="36"/>
      <c r="Y78" s="36"/>
      <c r="Z78" s="36" t="n">
        <f aca="false">G78+K78+L78+M78+N78+O78+P78</f>
        <v>0</v>
      </c>
      <c r="AA78" s="36" t="n">
        <f aca="false">IFERROR(AVERAGE(R78:U78),0)</f>
        <v>0</v>
      </c>
    </row>
    <row r="79" customFormat="false" ht="15" hidden="false" customHeight="true" outlineLevel="0" collapsed="false">
      <c r="A79" s="37" t="n">
        <v>66</v>
      </c>
      <c r="B79" s="37" t="n">
        <f aca="false">'Mid &amp; Assgn - A'!B82</f>
        <v>0</v>
      </c>
      <c r="C79" s="37" t="n">
        <f aca="false">'Mid &amp; Assgn - A'!C82</f>
        <v>0</v>
      </c>
      <c r="D79" s="38" t="n">
        <f aca="false">IFERROR(SUM('Mid &amp; Assgn - A'!D82:I82),0)</f>
        <v>0</v>
      </c>
      <c r="E79" s="38" t="n">
        <f aca="false">IFERROR(SUM('Mid &amp; Assgn - A'!J82:M82),0)</f>
        <v>0</v>
      </c>
      <c r="F79" s="38" t="n">
        <f aca="false">D79+E79</f>
        <v>0</v>
      </c>
      <c r="G79" s="38" t="n">
        <f aca="false">IFERROR(ROUND(F79/30*15,2),0)</f>
        <v>0</v>
      </c>
      <c r="H79" s="38" t="n">
        <f aca="false">IFERROR(SUM('Mid &amp; Assgn - A'!N82:S82),0)</f>
        <v>0</v>
      </c>
      <c r="I79" s="38" t="n">
        <f aca="false">IFERROR(SUM('Mid &amp; Assgn - A'!T82:Y82),0)</f>
        <v>0</v>
      </c>
      <c r="J79" s="38" t="n">
        <f aca="false">H79+I79</f>
        <v>0</v>
      </c>
      <c r="K79" s="38" t="n">
        <f aca="false">IFERROR(ROUND(J79/30*15,2),0)</f>
        <v>0</v>
      </c>
      <c r="L79" s="38" t="n">
        <f aca="false">'Mid &amp; Assgn - A'!Z82</f>
        <v>0</v>
      </c>
      <c r="M79" s="38" t="n">
        <f aca="false">'Mid &amp; Assgn - A'!AA82</f>
        <v>0</v>
      </c>
      <c r="N79" s="38" t="n">
        <f aca="false">'Mid &amp; Assgn - A'!AB82</f>
        <v>0</v>
      </c>
      <c r="O79" s="38" t="n">
        <f aca="false">'Mid &amp; Assgn - A'!AC82</f>
        <v>0</v>
      </c>
      <c r="P79" s="38" t="n">
        <f aca="false">'Mid &amp; Assgn - A'!AD82</f>
        <v>0</v>
      </c>
      <c r="Q79" s="38" t="n">
        <f aca="false">'Mid &amp; Assgn - A'!AE82</f>
        <v>0</v>
      </c>
      <c r="R79" s="38" t="n">
        <f aca="false">IF(D79/30&gt;=0.7,3,IF(D79/30&gt;=0.5,2,IF(D79/30&gt;=0.35,1,0)))</f>
        <v>0</v>
      </c>
      <c r="S79" s="38" t="n">
        <f aca="false">IF(E79/30&gt;=0.7,3,IF(E79/30&gt;=0.5,2,IF(E79/30&gt;=0.35,1,0)))</f>
        <v>0</v>
      </c>
      <c r="T79" s="38" t="n">
        <f aca="false">IF(H79/30&gt;=0.7,3,IF(H79/30&gt;=0.5,2,IF(H79/30&gt;=0.35,1,0)))</f>
        <v>0</v>
      </c>
      <c r="U79" s="38" t="n">
        <f aca="false">IF(I79/30&gt;=0.7,3,IF(I79/30&gt;=0.5,2,IF(I79/30&gt;=0.35,1,0)))</f>
        <v>0</v>
      </c>
      <c r="V79" s="38"/>
      <c r="W79" s="38"/>
      <c r="X79" s="38"/>
      <c r="Y79" s="38"/>
      <c r="Z79" s="38" t="n">
        <f aca="false">G79+K79+L79+M79+N79+O79+P79</f>
        <v>0</v>
      </c>
      <c r="AA79" s="38" t="n">
        <f aca="false">IFERROR(AVERAGE(R79:U79),0)</f>
        <v>0</v>
      </c>
    </row>
    <row r="80" customFormat="false" ht="15" hidden="false" customHeight="true" outlineLevel="0" collapsed="false">
      <c r="A80" s="35" t="n">
        <v>67</v>
      </c>
      <c r="B80" s="35" t="n">
        <f aca="false">'Mid &amp; Assgn - A'!B83</f>
        <v>0</v>
      </c>
      <c r="C80" s="35" t="n">
        <f aca="false">'Mid &amp; Assgn - A'!C83</f>
        <v>0</v>
      </c>
      <c r="D80" s="36" t="n">
        <f aca="false">IFERROR(SUM('Mid &amp; Assgn - A'!D83:I83),0)</f>
        <v>0</v>
      </c>
      <c r="E80" s="36" t="n">
        <f aca="false">IFERROR(SUM('Mid &amp; Assgn - A'!J83:M83),0)</f>
        <v>0</v>
      </c>
      <c r="F80" s="36" t="n">
        <f aca="false">D80+E80</f>
        <v>0</v>
      </c>
      <c r="G80" s="36" t="n">
        <f aca="false">IFERROR(ROUND(F80/30*15,2),0)</f>
        <v>0</v>
      </c>
      <c r="H80" s="36" t="n">
        <f aca="false">IFERROR(SUM('Mid &amp; Assgn - A'!N83:S83),0)</f>
        <v>0</v>
      </c>
      <c r="I80" s="36" t="n">
        <f aca="false">IFERROR(SUM('Mid &amp; Assgn - A'!T83:Y83),0)</f>
        <v>0</v>
      </c>
      <c r="J80" s="36" t="n">
        <f aca="false">H80+I80</f>
        <v>0</v>
      </c>
      <c r="K80" s="36" t="n">
        <f aca="false">IFERROR(ROUND(J80/30*15,2),0)</f>
        <v>0</v>
      </c>
      <c r="L80" s="36" t="n">
        <f aca="false">'Mid &amp; Assgn - A'!Z83</f>
        <v>0</v>
      </c>
      <c r="M80" s="36" t="n">
        <f aca="false">'Mid &amp; Assgn - A'!AA83</f>
        <v>0</v>
      </c>
      <c r="N80" s="36" t="n">
        <f aca="false">'Mid &amp; Assgn - A'!AB83</f>
        <v>0</v>
      </c>
      <c r="O80" s="36" t="n">
        <f aca="false">'Mid &amp; Assgn - A'!AC83</f>
        <v>0</v>
      </c>
      <c r="P80" s="36" t="n">
        <f aca="false">'Mid &amp; Assgn - A'!AD83</f>
        <v>0</v>
      </c>
      <c r="Q80" s="36" t="n">
        <f aca="false">'Mid &amp; Assgn - A'!AE83</f>
        <v>0</v>
      </c>
      <c r="R80" s="36" t="n">
        <f aca="false">IF(D80/30&gt;=0.7,3,IF(D80/30&gt;=0.5,2,IF(D80/30&gt;=0.35,1,0)))</f>
        <v>0</v>
      </c>
      <c r="S80" s="36" t="n">
        <f aca="false">IF(E80/30&gt;=0.7,3,IF(E80/30&gt;=0.5,2,IF(E80/30&gt;=0.35,1,0)))</f>
        <v>0</v>
      </c>
      <c r="T80" s="36" t="n">
        <f aca="false">IF(H80/30&gt;=0.7,3,IF(H80/30&gt;=0.5,2,IF(H80/30&gt;=0.35,1,0)))</f>
        <v>0</v>
      </c>
      <c r="U80" s="36" t="n">
        <f aca="false">IF(I80/30&gt;=0.7,3,IF(I80/30&gt;=0.5,2,IF(I80/30&gt;=0.35,1,0)))</f>
        <v>0</v>
      </c>
      <c r="V80" s="36"/>
      <c r="W80" s="36"/>
      <c r="X80" s="36"/>
      <c r="Y80" s="36"/>
      <c r="Z80" s="36" t="n">
        <f aca="false">G80+K80+L80+M80+N80+O80+P80</f>
        <v>0</v>
      </c>
      <c r="AA80" s="36" t="n">
        <f aca="false">IFERROR(AVERAGE(R80:U80),0)</f>
        <v>0</v>
      </c>
    </row>
    <row r="81" customFormat="false" ht="15" hidden="false" customHeight="true" outlineLevel="0" collapsed="false">
      <c r="A81" s="37" t="n">
        <v>68</v>
      </c>
      <c r="B81" s="37" t="n">
        <f aca="false">'Mid &amp; Assgn - A'!B84</f>
        <v>0</v>
      </c>
      <c r="C81" s="37" t="n">
        <f aca="false">'Mid &amp; Assgn - A'!C84</f>
        <v>0</v>
      </c>
      <c r="D81" s="38" t="n">
        <f aca="false">IFERROR(SUM('Mid &amp; Assgn - A'!D84:I84),0)</f>
        <v>0</v>
      </c>
      <c r="E81" s="38" t="n">
        <f aca="false">IFERROR(SUM('Mid &amp; Assgn - A'!J84:M84),0)</f>
        <v>0</v>
      </c>
      <c r="F81" s="38" t="n">
        <f aca="false">D81+E81</f>
        <v>0</v>
      </c>
      <c r="G81" s="38" t="n">
        <f aca="false">IFERROR(ROUND(F81/30*15,2),0)</f>
        <v>0</v>
      </c>
      <c r="H81" s="38" t="n">
        <f aca="false">IFERROR(SUM('Mid &amp; Assgn - A'!N84:S84),0)</f>
        <v>0</v>
      </c>
      <c r="I81" s="38" t="n">
        <f aca="false">IFERROR(SUM('Mid &amp; Assgn - A'!T84:Y84),0)</f>
        <v>0</v>
      </c>
      <c r="J81" s="38" t="n">
        <f aca="false">H81+I81</f>
        <v>0</v>
      </c>
      <c r="K81" s="38" t="n">
        <f aca="false">IFERROR(ROUND(J81/30*15,2),0)</f>
        <v>0</v>
      </c>
      <c r="L81" s="38" t="n">
        <f aca="false">'Mid &amp; Assgn - A'!Z84</f>
        <v>0</v>
      </c>
      <c r="M81" s="38" t="n">
        <f aca="false">'Mid &amp; Assgn - A'!AA84</f>
        <v>0</v>
      </c>
      <c r="N81" s="38" t="n">
        <f aca="false">'Mid &amp; Assgn - A'!AB84</f>
        <v>0</v>
      </c>
      <c r="O81" s="38" t="n">
        <f aca="false">'Mid &amp; Assgn - A'!AC84</f>
        <v>0</v>
      </c>
      <c r="P81" s="38" t="n">
        <f aca="false">'Mid &amp; Assgn - A'!AD84</f>
        <v>0</v>
      </c>
      <c r="Q81" s="38" t="n">
        <f aca="false">'Mid &amp; Assgn - A'!AE84</f>
        <v>0</v>
      </c>
      <c r="R81" s="38" t="n">
        <f aca="false">IF(D81/30&gt;=0.7,3,IF(D81/30&gt;=0.5,2,IF(D81/30&gt;=0.35,1,0)))</f>
        <v>0</v>
      </c>
      <c r="S81" s="38" t="n">
        <f aca="false">IF(E81/30&gt;=0.7,3,IF(E81/30&gt;=0.5,2,IF(E81/30&gt;=0.35,1,0)))</f>
        <v>0</v>
      </c>
      <c r="T81" s="38" t="n">
        <f aca="false">IF(H81/30&gt;=0.7,3,IF(H81/30&gt;=0.5,2,IF(H81/30&gt;=0.35,1,0)))</f>
        <v>0</v>
      </c>
      <c r="U81" s="38" t="n">
        <f aca="false">IF(I81/30&gt;=0.7,3,IF(I81/30&gt;=0.5,2,IF(I81/30&gt;=0.35,1,0)))</f>
        <v>0</v>
      </c>
      <c r="V81" s="38"/>
      <c r="W81" s="38"/>
      <c r="X81" s="38"/>
      <c r="Y81" s="38"/>
      <c r="Z81" s="38" t="n">
        <f aca="false">G81+K81+L81+M81+N81+O81+P81</f>
        <v>0</v>
      </c>
      <c r="AA81" s="38" t="n">
        <f aca="false">IFERROR(AVERAGE(R81:U81),0)</f>
        <v>0</v>
      </c>
    </row>
    <row r="82" customFormat="false" ht="15" hidden="false" customHeight="true" outlineLevel="0" collapsed="false">
      <c r="A82" s="35" t="n">
        <v>69</v>
      </c>
      <c r="B82" s="35" t="n">
        <f aca="false">'Mid &amp; Assgn - A'!B85</f>
        <v>0</v>
      </c>
      <c r="C82" s="35" t="n">
        <f aca="false">'Mid &amp; Assgn - A'!C85</f>
        <v>0</v>
      </c>
      <c r="D82" s="36" t="n">
        <f aca="false">IFERROR(SUM('Mid &amp; Assgn - A'!D85:I85),0)</f>
        <v>0</v>
      </c>
      <c r="E82" s="36" t="n">
        <f aca="false">IFERROR(SUM('Mid &amp; Assgn - A'!J85:M85),0)</f>
        <v>0</v>
      </c>
      <c r="F82" s="36" t="n">
        <f aca="false">D82+E82</f>
        <v>0</v>
      </c>
      <c r="G82" s="36" t="n">
        <f aca="false">IFERROR(ROUND(F82/30*15,2),0)</f>
        <v>0</v>
      </c>
      <c r="H82" s="36" t="n">
        <f aca="false">IFERROR(SUM('Mid &amp; Assgn - A'!N85:S85),0)</f>
        <v>0</v>
      </c>
      <c r="I82" s="36" t="n">
        <f aca="false">IFERROR(SUM('Mid &amp; Assgn - A'!T85:Y85),0)</f>
        <v>0</v>
      </c>
      <c r="J82" s="36" t="n">
        <f aca="false">H82+I82</f>
        <v>0</v>
      </c>
      <c r="K82" s="36" t="n">
        <f aca="false">IFERROR(ROUND(J82/30*15,2),0)</f>
        <v>0</v>
      </c>
      <c r="L82" s="36" t="n">
        <f aca="false">'Mid &amp; Assgn - A'!Z85</f>
        <v>0</v>
      </c>
      <c r="M82" s="36" t="n">
        <f aca="false">'Mid &amp; Assgn - A'!AA85</f>
        <v>0</v>
      </c>
      <c r="N82" s="36" t="n">
        <f aca="false">'Mid &amp; Assgn - A'!AB85</f>
        <v>0</v>
      </c>
      <c r="O82" s="36" t="n">
        <f aca="false">'Mid &amp; Assgn - A'!AC85</f>
        <v>0</v>
      </c>
      <c r="P82" s="36" t="n">
        <f aca="false">'Mid &amp; Assgn - A'!AD85</f>
        <v>0</v>
      </c>
      <c r="Q82" s="36" t="n">
        <f aca="false">'Mid &amp; Assgn - A'!AE85</f>
        <v>0</v>
      </c>
      <c r="R82" s="36" t="n">
        <f aca="false">IF(D82/30&gt;=0.7,3,IF(D82/30&gt;=0.5,2,IF(D82/30&gt;=0.35,1,0)))</f>
        <v>0</v>
      </c>
      <c r="S82" s="36" t="n">
        <f aca="false">IF(E82/30&gt;=0.7,3,IF(E82/30&gt;=0.5,2,IF(E82/30&gt;=0.35,1,0)))</f>
        <v>0</v>
      </c>
      <c r="T82" s="36" t="n">
        <f aca="false">IF(H82/30&gt;=0.7,3,IF(H82/30&gt;=0.5,2,IF(H82/30&gt;=0.35,1,0)))</f>
        <v>0</v>
      </c>
      <c r="U82" s="36" t="n">
        <f aca="false">IF(I82/30&gt;=0.7,3,IF(I82/30&gt;=0.5,2,IF(I82/30&gt;=0.35,1,0)))</f>
        <v>0</v>
      </c>
      <c r="V82" s="36"/>
      <c r="W82" s="36"/>
      <c r="X82" s="36"/>
      <c r="Y82" s="36"/>
      <c r="Z82" s="36" t="n">
        <f aca="false">G82+K82+L82+M82+N82+O82+P82</f>
        <v>0</v>
      </c>
      <c r="AA82" s="36" t="n">
        <f aca="false">IFERROR(AVERAGE(R82:U82),0)</f>
        <v>0</v>
      </c>
    </row>
    <row r="83" customFormat="false" ht="15" hidden="false" customHeight="true" outlineLevel="0" collapsed="false">
      <c r="A83" s="37" t="n">
        <v>70</v>
      </c>
      <c r="B83" s="37" t="n">
        <f aca="false">'Mid &amp; Assgn - A'!B86</f>
        <v>0</v>
      </c>
      <c r="C83" s="37" t="n">
        <f aca="false">'Mid &amp; Assgn - A'!C86</f>
        <v>0</v>
      </c>
      <c r="D83" s="38" t="n">
        <f aca="false">IFERROR(SUM('Mid &amp; Assgn - A'!D86:I86),0)</f>
        <v>0</v>
      </c>
      <c r="E83" s="38" t="n">
        <f aca="false">IFERROR(SUM('Mid &amp; Assgn - A'!J86:M86),0)</f>
        <v>0</v>
      </c>
      <c r="F83" s="38" t="n">
        <f aca="false">D83+E83</f>
        <v>0</v>
      </c>
      <c r="G83" s="38" t="n">
        <f aca="false">IFERROR(ROUND(F83/30*15,2),0)</f>
        <v>0</v>
      </c>
      <c r="H83" s="38" t="n">
        <f aca="false">IFERROR(SUM('Mid &amp; Assgn - A'!N86:S86),0)</f>
        <v>0</v>
      </c>
      <c r="I83" s="38" t="n">
        <f aca="false">IFERROR(SUM('Mid &amp; Assgn - A'!T86:Y86),0)</f>
        <v>0</v>
      </c>
      <c r="J83" s="38" t="n">
        <f aca="false">H83+I83</f>
        <v>0</v>
      </c>
      <c r="K83" s="38" t="n">
        <f aca="false">IFERROR(ROUND(J83/30*15,2),0)</f>
        <v>0</v>
      </c>
      <c r="L83" s="38" t="n">
        <f aca="false">'Mid &amp; Assgn - A'!Z86</f>
        <v>0</v>
      </c>
      <c r="M83" s="38" t="n">
        <f aca="false">'Mid &amp; Assgn - A'!AA86</f>
        <v>0</v>
      </c>
      <c r="N83" s="38" t="n">
        <f aca="false">'Mid &amp; Assgn - A'!AB86</f>
        <v>0</v>
      </c>
      <c r="O83" s="38" t="n">
        <f aca="false">'Mid &amp; Assgn - A'!AC86</f>
        <v>0</v>
      </c>
      <c r="P83" s="38" t="n">
        <f aca="false">'Mid &amp; Assgn - A'!AD86</f>
        <v>0</v>
      </c>
      <c r="Q83" s="38" t="n">
        <f aca="false">'Mid &amp; Assgn - A'!AE86</f>
        <v>0</v>
      </c>
      <c r="R83" s="38" t="n">
        <f aca="false">IF(D83/30&gt;=0.7,3,IF(D83/30&gt;=0.5,2,IF(D83/30&gt;=0.35,1,0)))</f>
        <v>0</v>
      </c>
      <c r="S83" s="38" t="n">
        <f aca="false">IF(E83/30&gt;=0.7,3,IF(E83/30&gt;=0.5,2,IF(E83/30&gt;=0.35,1,0)))</f>
        <v>0</v>
      </c>
      <c r="T83" s="38" t="n">
        <f aca="false">IF(H83/30&gt;=0.7,3,IF(H83/30&gt;=0.5,2,IF(H83/30&gt;=0.35,1,0)))</f>
        <v>0</v>
      </c>
      <c r="U83" s="38" t="n">
        <f aca="false">IF(I83/30&gt;=0.7,3,IF(I83/30&gt;=0.5,2,IF(I83/30&gt;=0.35,1,0)))</f>
        <v>0</v>
      </c>
      <c r="V83" s="38"/>
      <c r="W83" s="38"/>
      <c r="X83" s="38"/>
      <c r="Y83" s="38"/>
      <c r="Z83" s="38" t="n">
        <f aca="false">G83+K83+L83+M83+N83+O83+P83</f>
        <v>0</v>
      </c>
      <c r="AA83" s="38" t="n">
        <f aca="false">IFERROR(AVERAGE(R83:U83),0)</f>
        <v>0</v>
      </c>
    </row>
    <row r="84" customFormat="false" ht="15" hidden="false" customHeight="true" outlineLevel="0" collapsed="false">
      <c r="A84" s="35" t="n">
        <v>71</v>
      </c>
      <c r="B84" s="35" t="n">
        <f aca="false">'Mid &amp; Assgn - A'!B87</f>
        <v>0</v>
      </c>
      <c r="C84" s="35" t="n">
        <f aca="false">'Mid &amp; Assgn - A'!C87</f>
        <v>0</v>
      </c>
      <c r="D84" s="36" t="n">
        <f aca="false">IFERROR(SUM('Mid &amp; Assgn - A'!D87:I87),0)</f>
        <v>0</v>
      </c>
      <c r="E84" s="36" t="n">
        <f aca="false">IFERROR(SUM('Mid &amp; Assgn - A'!J87:M87),0)</f>
        <v>0</v>
      </c>
      <c r="F84" s="36" t="n">
        <f aca="false">D84+E84</f>
        <v>0</v>
      </c>
      <c r="G84" s="36" t="n">
        <f aca="false">IFERROR(ROUND(F84/30*15,2),0)</f>
        <v>0</v>
      </c>
      <c r="H84" s="36" t="n">
        <f aca="false">IFERROR(SUM('Mid &amp; Assgn - A'!N87:S87),0)</f>
        <v>0</v>
      </c>
      <c r="I84" s="36" t="n">
        <f aca="false">IFERROR(SUM('Mid &amp; Assgn - A'!T87:Y87),0)</f>
        <v>0</v>
      </c>
      <c r="J84" s="36" t="n">
        <f aca="false">H84+I84</f>
        <v>0</v>
      </c>
      <c r="K84" s="36" t="n">
        <f aca="false">IFERROR(ROUND(J84/30*15,2),0)</f>
        <v>0</v>
      </c>
      <c r="L84" s="36" t="n">
        <f aca="false">'Mid &amp; Assgn - A'!Z87</f>
        <v>0</v>
      </c>
      <c r="M84" s="36" t="n">
        <f aca="false">'Mid &amp; Assgn - A'!AA87</f>
        <v>0</v>
      </c>
      <c r="N84" s="36" t="n">
        <f aca="false">'Mid &amp; Assgn - A'!AB87</f>
        <v>0</v>
      </c>
      <c r="O84" s="36" t="n">
        <f aca="false">'Mid &amp; Assgn - A'!AC87</f>
        <v>0</v>
      </c>
      <c r="P84" s="36" t="n">
        <f aca="false">'Mid &amp; Assgn - A'!AD87</f>
        <v>0</v>
      </c>
      <c r="Q84" s="36" t="n">
        <f aca="false">'Mid &amp; Assgn - A'!AE87</f>
        <v>0</v>
      </c>
      <c r="R84" s="36" t="n">
        <f aca="false">IF(D84/30&gt;=0.7,3,IF(D84/30&gt;=0.5,2,IF(D84/30&gt;=0.35,1,0)))</f>
        <v>0</v>
      </c>
      <c r="S84" s="36" t="n">
        <f aca="false">IF(E84/30&gt;=0.7,3,IF(E84/30&gt;=0.5,2,IF(E84/30&gt;=0.35,1,0)))</f>
        <v>0</v>
      </c>
      <c r="T84" s="36" t="n">
        <f aca="false">IF(H84/30&gt;=0.7,3,IF(H84/30&gt;=0.5,2,IF(H84/30&gt;=0.35,1,0)))</f>
        <v>0</v>
      </c>
      <c r="U84" s="36" t="n">
        <f aca="false">IF(I84/30&gt;=0.7,3,IF(I84/30&gt;=0.5,2,IF(I84/30&gt;=0.35,1,0)))</f>
        <v>0</v>
      </c>
      <c r="V84" s="36"/>
      <c r="W84" s="36"/>
      <c r="X84" s="36"/>
      <c r="Y84" s="36"/>
      <c r="Z84" s="36" t="n">
        <f aca="false">G84+K84+L84+M84+N84+O84+P84</f>
        <v>0</v>
      </c>
      <c r="AA84" s="36" t="n">
        <f aca="false">IFERROR(AVERAGE(R84:U84),0)</f>
        <v>0</v>
      </c>
    </row>
    <row r="85" customFormat="false" ht="15" hidden="false" customHeight="true" outlineLevel="0" collapsed="false">
      <c r="A85" s="37" t="n">
        <v>72</v>
      </c>
      <c r="B85" s="37" t="n">
        <f aca="false">'Mid &amp; Assgn - A'!B88</f>
        <v>0</v>
      </c>
      <c r="C85" s="37" t="n">
        <f aca="false">'Mid &amp; Assgn - A'!C88</f>
        <v>0</v>
      </c>
      <c r="D85" s="38" t="n">
        <f aca="false">IFERROR(SUM('Mid &amp; Assgn - A'!D88:I88),0)</f>
        <v>0</v>
      </c>
      <c r="E85" s="38" t="n">
        <f aca="false">IFERROR(SUM('Mid &amp; Assgn - A'!J88:M88),0)</f>
        <v>0</v>
      </c>
      <c r="F85" s="38" t="n">
        <f aca="false">D85+E85</f>
        <v>0</v>
      </c>
      <c r="G85" s="38" t="n">
        <f aca="false">IFERROR(ROUND(F85/30*15,2),0)</f>
        <v>0</v>
      </c>
      <c r="H85" s="38" t="n">
        <f aca="false">IFERROR(SUM('Mid &amp; Assgn - A'!N88:S88),0)</f>
        <v>0</v>
      </c>
      <c r="I85" s="38" t="n">
        <f aca="false">IFERROR(SUM('Mid &amp; Assgn - A'!T88:Y88),0)</f>
        <v>0</v>
      </c>
      <c r="J85" s="38" t="n">
        <f aca="false">H85+I85</f>
        <v>0</v>
      </c>
      <c r="K85" s="38" t="n">
        <f aca="false">IFERROR(ROUND(J85/30*15,2),0)</f>
        <v>0</v>
      </c>
      <c r="L85" s="38" t="n">
        <f aca="false">'Mid &amp; Assgn - A'!Z88</f>
        <v>0</v>
      </c>
      <c r="M85" s="38" t="n">
        <f aca="false">'Mid &amp; Assgn - A'!AA88</f>
        <v>0</v>
      </c>
      <c r="N85" s="38" t="n">
        <f aca="false">'Mid &amp; Assgn - A'!AB88</f>
        <v>0</v>
      </c>
      <c r="O85" s="38" t="n">
        <f aca="false">'Mid &amp; Assgn - A'!AC88</f>
        <v>0</v>
      </c>
      <c r="P85" s="38" t="n">
        <f aca="false">'Mid &amp; Assgn - A'!AD88</f>
        <v>0</v>
      </c>
      <c r="Q85" s="38" t="n">
        <f aca="false">'Mid &amp; Assgn - A'!AE88</f>
        <v>0</v>
      </c>
      <c r="R85" s="38" t="n">
        <f aca="false">IF(D85/30&gt;=0.7,3,IF(D85/30&gt;=0.5,2,IF(D85/30&gt;=0.35,1,0)))</f>
        <v>0</v>
      </c>
      <c r="S85" s="38" t="n">
        <f aca="false">IF(E85/30&gt;=0.7,3,IF(E85/30&gt;=0.5,2,IF(E85/30&gt;=0.35,1,0)))</f>
        <v>0</v>
      </c>
      <c r="T85" s="38" t="n">
        <f aca="false">IF(H85/30&gt;=0.7,3,IF(H85/30&gt;=0.5,2,IF(H85/30&gt;=0.35,1,0)))</f>
        <v>0</v>
      </c>
      <c r="U85" s="38" t="n">
        <f aca="false">IF(I85/30&gt;=0.7,3,IF(I85/30&gt;=0.5,2,IF(I85/30&gt;=0.35,1,0)))</f>
        <v>0</v>
      </c>
      <c r="V85" s="38"/>
      <c r="W85" s="38"/>
      <c r="X85" s="38"/>
      <c r="Y85" s="38"/>
      <c r="Z85" s="38" t="n">
        <f aca="false">G85+K85+L85+M85+N85+O85+P85</f>
        <v>0</v>
      </c>
      <c r="AA85" s="38" t="n">
        <f aca="false">IFERROR(AVERAGE(R85:U85),0)</f>
        <v>0</v>
      </c>
    </row>
    <row r="86" customFormat="false" ht="15" hidden="false" customHeight="true" outlineLevel="0" collapsed="false">
      <c r="A86" s="35" t="n">
        <v>73</v>
      </c>
      <c r="B86" s="35" t="n">
        <f aca="false">'Mid &amp; Assgn - A'!B89</f>
        <v>0</v>
      </c>
      <c r="C86" s="35" t="n">
        <f aca="false">'Mid &amp; Assgn - A'!C89</f>
        <v>0</v>
      </c>
      <c r="D86" s="36" t="n">
        <f aca="false">IFERROR(SUM('Mid &amp; Assgn - A'!D89:I89),0)</f>
        <v>0</v>
      </c>
      <c r="E86" s="36" t="n">
        <f aca="false">IFERROR(SUM('Mid &amp; Assgn - A'!J89:M89),0)</f>
        <v>0</v>
      </c>
      <c r="F86" s="36" t="n">
        <f aca="false">D86+E86</f>
        <v>0</v>
      </c>
      <c r="G86" s="36" t="n">
        <f aca="false">IFERROR(ROUND(F86/30*15,2),0)</f>
        <v>0</v>
      </c>
      <c r="H86" s="36" t="n">
        <f aca="false">IFERROR(SUM('Mid &amp; Assgn - A'!N89:S89),0)</f>
        <v>0</v>
      </c>
      <c r="I86" s="36" t="n">
        <f aca="false">IFERROR(SUM('Mid &amp; Assgn - A'!T89:Y89),0)</f>
        <v>0</v>
      </c>
      <c r="J86" s="36" t="n">
        <f aca="false">H86+I86</f>
        <v>0</v>
      </c>
      <c r="K86" s="36" t="n">
        <f aca="false">IFERROR(ROUND(J86/30*15,2),0)</f>
        <v>0</v>
      </c>
      <c r="L86" s="36" t="n">
        <f aca="false">'Mid &amp; Assgn - A'!Z89</f>
        <v>0</v>
      </c>
      <c r="M86" s="36" t="n">
        <f aca="false">'Mid &amp; Assgn - A'!AA89</f>
        <v>0</v>
      </c>
      <c r="N86" s="36" t="n">
        <f aca="false">'Mid &amp; Assgn - A'!AB89</f>
        <v>0</v>
      </c>
      <c r="O86" s="36" t="n">
        <f aca="false">'Mid &amp; Assgn - A'!AC89</f>
        <v>0</v>
      </c>
      <c r="P86" s="36" t="n">
        <f aca="false">'Mid &amp; Assgn - A'!AD89</f>
        <v>0</v>
      </c>
      <c r="Q86" s="36" t="n">
        <f aca="false">'Mid &amp; Assgn - A'!AE89</f>
        <v>0</v>
      </c>
      <c r="R86" s="36" t="n">
        <f aca="false">IF(D86/30&gt;=0.7,3,IF(D86/30&gt;=0.5,2,IF(D86/30&gt;=0.35,1,0)))</f>
        <v>0</v>
      </c>
      <c r="S86" s="36" t="n">
        <f aca="false">IF(E86/30&gt;=0.7,3,IF(E86/30&gt;=0.5,2,IF(E86/30&gt;=0.35,1,0)))</f>
        <v>0</v>
      </c>
      <c r="T86" s="36" t="n">
        <f aca="false">IF(H86/30&gt;=0.7,3,IF(H86/30&gt;=0.5,2,IF(H86/30&gt;=0.35,1,0)))</f>
        <v>0</v>
      </c>
      <c r="U86" s="36" t="n">
        <f aca="false">IF(I86/30&gt;=0.7,3,IF(I86/30&gt;=0.5,2,IF(I86/30&gt;=0.35,1,0)))</f>
        <v>0</v>
      </c>
      <c r="V86" s="36"/>
      <c r="W86" s="36"/>
      <c r="X86" s="36"/>
      <c r="Y86" s="36"/>
      <c r="Z86" s="36" t="n">
        <f aca="false">G86+K86+L86+M86+N86+O86+P86</f>
        <v>0</v>
      </c>
      <c r="AA86" s="36" t="n">
        <f aca="false">IFERROR(AVERAGE(R86:U86),0)</f>
        <v>0</v>
      </c>
    </row>
    <row r="87" customFormat="false" ht="15" hidden="false" customHeight="true" outlineLevel="0" collapsed="false">
      <c r="A87" s="37" t="n">
        <v>74</v>
      </c>
      <c r="B87" s="37" t="n">
        <f aca="false">'Mid &amp; Assgn - A'!B90</f>
        <v>0</v>
      </c>
      <c r="C87" s="37" t="n">
        <f aca="false">'Mid &amp; Assgn - A'!C90</f>
        <v>0</v>
      </c>
      <c r="D87" s="38" t="n">
        <f aca="false">IFERROR(SUM('Mid &amp; Assgn - A'!D90:I90),0)</f>
        <v>0</v>
      </c>
      <c r="E87" s="38" t="n">
        <f aca="false">IFERROR(SUM('Mid &amp; Assgn - A'!J90:M90),0)</f>
        <v>0</v>
      </c>
      <c r="F87" s="38" t="n">
        <f aca="false">D87+E87</f>
        <v>0</v>
      </c>
      <c r="G87" s="38" t="n">
        <f aca="false">IFERROR(ROUND(F87/30*15,2),0)</f>
        <v>0</v>
      </c>
      <c r="H87" s="38" t="n">
        <f aca="false">IFERROR(SUM('Mid &amp; Assgn - A'!N90:S90),0)</f>
        <v>0</v>
      </c>
      <c r="I87" s="38" t="n">
        <f aca="false">IFERROR(SUM('Mid &amp; Assgn - A'!T90:Y90),0)</f>
        <v>0</v>
      </c>
      <c r="J87" s="38" t="n">
        <f aca="false">H87+I87</f>
        <v>0</v>
      </c>
      <c r="K87" s="38" t="n">
        <f aca="false">IFERROR(ROUND(J87/30*15,2),0)</f>
        <v>0</v>
      </c>
      <c r="L87" s="38" t="n">
        <f aca="false">'Mid &amp; Assgn - A'!Z90</f>
        <v>0</v>
      </c>
      <c r="M87" s="38" t="n">
        <f aca="false">'Mid &amp; Assgn - A'!AA90</f>
        <v>0</v>
      </c>
      <c r="N87" s="38" t="n">
        <f aca="false">'Mid &amp; Assgn - A'!AB90</f>
        <v>0</v>
      </c>
      <c r="O87" s="38" t="n">
        <f aca="false">'Mid &amp; Assgn - A'!AC90</f>
        <v>0</v>
      </c>
      <c r="P87" s="38" t="n">
        <f aca="false">'Mid &amp; Assgn - A'!AD90</f>
        <v>0</v>
      </c>
      <c r="Q87" s="38" t="n">
        <f aca="false">'Mid &amp; Assgn - A'!AE90</f>
        <v>0</v>
      </c>
      <c r="R87" s="38" t="n">
        <f aca="false">IF(D87/30&gt;=0.7,3,IF(D87/30&gt;=0.5,2,IF(D87/30&gt;=0.35,1,0)))</f>
        <v>0</v>
      </c>
      <c r="S87" s="38" t="n">
        <f aca="false">IF(E87/30&gt;=0.7,3,IF(E87/30&gt;=0.5,2,IF(E87/30&gt;=0.35,1,0)))</f>
        <v>0</v>
      </c>
      <c r="T87" s="38" t="n">
        <f aca="false">IF(H87/30&gt;=0.7,3,IF(H87/30&gt;=0.5,2,IF(H87/30&gt;=0.35,1,0)))</f>
        <v>0</v>
      </c>
      <c r="U87" s="38" t="n">
        <f aca="false">IF(I87/30&gt;=0.7,3,IF(I87/30&gt;=0.5,2,IF(I87/30&gt;=0.35,1,0)))</f>
        <v>0</v>
      </c>
      <c r="V87" s="38"/>
      <c r="W87" s="38"/>
      <c r="X87" s="38"/>
      <c r="Y87" s="38"/>
      <c r="Z87" s="38" t="n">
        <f aca="false">G87+K87+L87+M87+N87+O87+P87</f>
        <v>0</v>
      </c>
      <c r="AA87" s="38" t="n">
        <f aca="false">IFERROR(AVERAGE(R87:U87),0)</f>
        <v>0</v>
      </c>
    </row>
    <row r="88" customFormat="false" ht="15" hidden="false" customHeight="true" outlineLevel="0" collapsed="false">
      <c r="A88" s="35" t="n">
        <v>75</v>
      </c>
      <c r="B88" s="35" t="n">
        <f aca="false">'Mid &amp; Assgn - A'!B91</f>
        <v>0</v>
      </c>
      <c r="C88" s="35" t="n">
        <f aca="false">'Mid &amp; Assgn - A'!C91</f>
        <v>0</v>
      </c>
      <c r="D88" s="36" t="n">
        <f aca="false">IFERROR(SUM('Mid &amp; Assgn - A'!D91:I91),0)</f>
        <v>0</v>
      </c>
      <c r="E88" s="36" t="n">
        <f aca="false">IFERROR(SUM('Mid &amp; Assgn - A'!J91:M91),0)</f>
        <v>0</v>
      </c>
      <c r="F88" s="36" t="n">
        <f aca="false">D88+E88</f>
        <v>0</v>
      </c>
      <c r="G88" s="36" t="n">
        <f aca="false">IFERROR(ROUND(F88/30*15,2),0)</f>
        <v>0</v>
      </c>
      <c r="H88" s="36" t="n">
        <f aca="false">IFERROR(SUM('Mid &amp; Assgn - A'!N91:S91),0)</f>
        <v>0</v>
      </c>
      <c r="I88" s="36" t="n">
        <f aca="false">IFERROR(SUM('Mid &amp; Assgn - A'!T91:Y91),0)</f>
        <v>0</v>
      </c>
      <c r="J88" s="36" t="n">
        <f aca="false">H88+I88</f>
        <v>0</v>
      </c>
      <c r="K88" s="36" t="n">
        <f aca="false">IFERROR(ROUND(J88/30*15,2),0)</f>
        <v>0</v>
      </c>
      <c r="L88" s="36" t="n">
        <f aca="false">'Mid &amp; Assgn - A'!Z91</f>
        <v>0</v>
      </c>
      <c r="M88" s="36" t="n">
        <f aca="false">'Mid &amp; Assgn - A'!AA91</f>
        <v>0</v>
      </c>
      <c r="N88" s="36" t="n">
        <f aca="false">'Mid &amp; Assgn - A'!AB91</f>
        <v>0</v>
      </c>
      <c r="O88" s="36" t="n">
        <f aca="false">'Mid &amp; Assgn - A'!AC91</f>
        <v>0</v>
      </c>
      <c r="P88" s="36" t="n">
        <f aca="false">'Mid &amp; Assgn - A'!AD91</f>
        <v>0</v>
      </c>
      <c r="Q88" s="36" t="n">
        <f aca="false">'Mid &amp; Assgn - A'!AE91</f>
        <v>0</v>
      </c>
      <c r="R88" s="36" t="n">
        <f aca="false">IF(D88/30&gt;=0.7,3,IF(D88/30&gt;=0.5,2,IF(D88/30&gt;=0.35,1,0)))</f>
        <v>0</v>
      </c>
      <c r="S88" s="36" t="n">
        <f aca="false">IF(E88/30&gt;=0.7,3,IF(E88/30&gt;=0.5,2,IF(E88/30&gt;=0.35,1,0)))</f>
        <v>0</v>
      </c>
      <c r="T88" s="36" t="n">
        <f aca="false">IF(H88/30&gt;=0.7,3,IF(H88/30&gt;=0.5,2,IF(H88/30&gt;=0.35,1,0)))</f>
        <v>0</v>
      </c>
      <c r="U88" s="36" t="n">
        <f aca="false">IF(I88/30&gt;=0.7,3,IF(I88/30&gt;=0.5,2,IF(I88/30&gt;=0.35,1,0)))</f>
        <v>0</v>
      </c>
      <c r="V88" s="36"/>
      <c r="W88" s="36"/>
      <c r="X88" s="36"/>
      <c r="Y88" s="36"/>
      <c r="Z88" s="36" t="n">
        <f aca="false">G88+K88+L88+M88+N88+O88+P88</f>
        <v>0</v>
      </c>
      <c r="AA88" s="36" t="n">
        <f aca="false">IFERROR(AVERAGE(R88:U88),0)</f>
        <v>0</v>
      </c>
    </row>
    <row r="89" customFormat="false" ht="21.75" hidden="false" customHeight="true" outlineLevel="0" collapsed="false">
      <c r="A89" s="39" t="s">
        <v>62</v>
      </c>
      <c r="B89" s="39"/>
      <c r="C89" s="39"/>
      <c r="D89" s="27" t="n">
        <f aca="false">IFERROR(AVERAGE(D14:D88),"")</f>
        <v>0</v>
      </c>
      <c r="E89" s="27" t="n">
        <f aca="false">IFERROR(AVERAGE(E14:E88),"")</f>
        <v>0</v>
      </c>
      <c r="F89" s="27" t="n">
        <f aca="false">IFERROR(AVERAGE(F14:F88),"")</f>
        <v>0</v>
      </c>
      <c r="G89" s="27" t="n">
        <f aca="false">IFERROR(AVERAGE(G14:G88),"")</f>
        <v>0</v>
      </c>
      <c r="H89" s="27" t="n">
        <f aca="false">IFERROR(AVERAGE(H14:H88),"")</f>
        <v>0</v>
      </c>
      <c r="I89" s="27" t="n">
        <f aca="false">IFERROR(AVERAGE(I14:I88),"")</f>
        <v>0</v>
      </c>
      <c r="J89" s="27" t="n">
        <f aca="false">IFERROR(AVERAGE(J14:J88),"")</f>
        <v>0</v>
      </c>
      <c r="K89" s="27" t="n">
        <f aca="false">IFERROR(AVERAGE(K14:K88),"")</f>
        <v>0</v>
      </c>
      <c r="L89" s="27" t="n">
        <f aca="false">IFERROR(AVERAGE(L14:L88),"")</f>
        <v>0</v>
      </c>
      <c r="M89" s="27" t="n">
        <f aca="false">IFERROR(AVERAGE(M14:M88),"")</f>
        <v>0</v>
      </c>
      <c r="N89" s="27" t="n">
        <f aca="false">IFERROR(AVERAGE(N14:N88),"")</f>
        <v>0</v>
      </c>
      <c r="O89" s="27" t="n">
        <f aca="false">IFERROR(AVERAGE(O14:O88),"")</f>
        <v>0</v>
      </c>
      <c r="P89" s="27" t="n">
        <f aca="false">IFERROR(AVERAGE(P14:P88),"")</f>
        <v>0</v>
      </c>
      <c r="Q89" s="27" t="n">
        <f aca="false">IFERROR(AVERAGE(Q14:Q88),"")</f>
        <v>0</v>
      </c>
      <c r="R89" s="27" t="n">
        <f aca="false">IFERROR(AVERAGE(R14:R88),"")</f>
        <v>0</v>
      </c>
      <c r="S89" s="27" t="n">
        <f aca="false">IFERROR(AVERAGE(S14:S88),"")</f>
        <v>0</v>
      </c>
      <c r="T89" s="27" t="n">
        <f aca="false">IFERROR(AVERAGE(T14:T88),"")</f>
        <v>0</v>
      </c>
      <c r="U89" s="27" t="n">
        <f aca="false">IFERROR(AVERAGE(U14:U88),"")</f>
        <v>0</v>
      </c>
      <c r="V89" s="27" t="str">
        <f aca="false">IFERROR(AVERAGE(V14:V88),"")</f>
        <v/>
      </c>
      <c r="W89" s="27" t="str">
        <f aca="false">IFERROR(AVERAGE(W14:W88),"")</f>
        <v/>
      </c>
      <c r="X89" s="27" t="str">
        <f aca="false">IFERROR(AVERAGE(X14:X88),"")</f>
        <v/>
      </c>
      <c r="Y89" s="27" t="str">
        <f aca="false">IFERROR(AVERAGE(Y14:Y88),"")</f>
        <v/>
      </c>
      <c r="Z89" s="27" t="n">
        <f aca="false">IFERROR(AVERAGE(Z14:Z88),"")</f>
        <v>0</v>
      </c>
      <c r="AA89" s="27" t="n">
        <f aca="false">IFERROR(AVERAGE(AA14:AA88),"")</f>
        <v>0</v>
      </c>
    </row>
    <row r="91" customFormat="false" ht="18" hidden="false" customHeight="true" outlineLevel="0" collapsed="false">
      <c r="A91" s="40" t="s">
        <v>63</v>
      </c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</row>
    <row r="92" customFormat="false" ht="32.8" hidden="false" customHeight="false" outlineLevel="0" collapsed="false">
      <c r="A92" s="41" t="s">
        <v>64</v>
      </c>
      <c r="B92" s="41" t="s">
        <v>65</v>
      </c>
      <c r="C92" s="41" t="s">
        <v>66</v>
      </c>
      <c r="D92" s="41" t="s">
        <v>67</v>
      </c>
      <c r="E92" s="41" t="s">
        <v>68</v>
      </c>
      <c r="F92" s="41" t="s">
        <v>69</v>
      </c>
      <c r="G92" s="41" t="s">
        <v>70</v>
      </c>
      <c r="H92" s="41" t="s">
        <v>71</v>
      </c>
      <c r="I92" s="41" t="s">
        <v>72</v>
      </c>
      <c r="J92" s="41" t="s">
        <v>73</v>
      </c>
      <c r="K92" s="41" t="s">
        <v>74</v>
      </c>
      <c r="L92" s="41" t="s">
        <v>75</v>
      </c>
      <c r="M92" s="41" t="s">
        <v>76</v>
      </c>
      <c r="N92" s="41" t="s">
        <v>77</v>
      </c>
      <c r="O92" s="41" t="s">
        <v>78</v>
      </c>
      <c r="P92" s="42" t="s">
        <v>79</v>
      </c>
    </row>
    <row r="93" customFormat="false" ht="15.75" hidden="false" customHeight="true" outlineLevel="0" collapsed="false">
      <c r="A93" s="43" t="s">
        <v>20</v>
      </c>
      <c r="B93" s="44" t="n">
        <v>3</v>
      </c>
      <c r="C93" s="45" t="n">
        <v>2</v>
      </c>
      <c r="D93" s="46"/>
      <c r="E93" s="46"/>
      <c r="F93" s="46"/>
      <c r="G93" s="46"/>
      <c r="H93" s="46"/>
      <c r="I93" s="46"/>
      <c r="J93" s="46"/>
      <c r="K93" s="46"/>
      <c r="L93" s="46"/>
      <c r="M93" s="47" t="n">
        <v>1</v>
      </c>
      <c r="N93" s="44" t="n">
        <v>3</v>
      </c>
      <c r="O93" s="45" t="n">
        <v>2</v>
      </c>
      <c r="P93" s="48" t="n">
        <f aca="false">R89</f>
        <v>0</v>
      </c>
    </row>
    <row r="94" customFormat="false" ht="15.75" hidden="false" customHeight="true" outlineLevel="0" collapsed="false">
      <c r="A94" s="43" t="s">
        <v>21</v>
      </c>
      <c r="B94" s="44" t="n">
        <v>3</v>
      </c>
      <c r="C94" s="44" t="n">
        <v>3</v>
      </c>
      <c r="D94" s="45" t="n">
        <v>2</v>
      </c>
      <c r="E94" s="46"/>
      <c r="F94" s="46"/>
      <c r="G94" s="46"/>
      <c r="H94" s="46"/>
      <c r="I94" s="46"/>
      <c r="J94" s="46"/>
      <c r="K94" s="46"/>
      <c r="L94" s="46"/>
      <c r="M94" s="47" t="n">
        <v>1</v>
      </c>
      <c r="N94" s="44" t="n">
        <v>3</v>
      </c>
      <c r="O94" s="45" t="n">
        <v>2</v>
      </c>
      <c r="P94" s="48" t="n">
        <f aca="false">S89</f>
        <v>0</v>
      </c>
    </row>
    <row r="95" customFormat="false" ht="15.75" hidden="false" customHeight="true" outlineLevel="0" collapsed="false">
      <c r="A95" s="43" t="s">
        <v>22</v>
      </c>
      <c r="B95" s="44" t="n">
        <v>3</v>
      </c>
      <c r="C95" s="45" t="n">
        <v>2</v>
      </c>
      <c r="D95" s="44" t="n">
        <v>3</v>
      </c>
      <c r="E95" s="47" t="n">
        <v>1</v>
      </c>
      <c r="F95" s="46"/>
      <c r="G95" s="46"/>
      <c r="H95" s="46"/>
      <c r="I95" s="46"/>
      <c r="J95" s="46"/>
      <c r="K95" s="46"/>
      <c r="L95" s="46"/>
      <c r="M95" s="47" t="n">
        <v>1</v>
      </c>
      <c r="N95" s="44" t="n">
        <v>3</v>
      </c>
      <c r="O95" s="45" t="n">
        <v>2</v>
      </c>
      <c r="P95" s="48" t="n">
        <f aca="false">T89</f>
        <v>0</v>
      </c>
    </row>
    <row r="96" customFormat="false" ht="15.75" hidden="false" customHeight="true" outlineLevel="0" collapsed="false">
      <c r="A96" s="43" t="s">
        <v>23</v>
      </c>
      <c r="B96" s="44" t="n">
        <v>3</v>
      </c>
      <c r="C96" s="45" t="n">
        <v>2</v>
      </c>
      <c r="D96" s="45" t="n">
        <v>2</v>
      </c>
      <c r="E96" s="47" t="n">
        <v>1</v>
      </c>
      <c r="F96" s="45" t="n">
        <v>2</v>
      </c>
      <c r="G96" s="46"/>
      <c r="H96" s="46"/>
      <c r="I96" s="46"/>
      <c r="J96" s="46"/>
      <c r="K96" s="46"/>
      <c r="L96" s="46"/>
      <c r="M96" s="47" t="n">
        <v>1</v>
      </c>
      <c r="N96" s="44" t="n">
        <v>3</v>
      </c>
      <c r="O96" s="44" t="n">
        <v>3</v>
      </c>
      <c r="P96" s="48" t="n">
        <f aca="false">U89</f>
        <v>0</v>
      </c>
    </row>
    <row r="97" customFormat="false" ht="15.75" hidden="false" customHeight="true" outlineLevel="0" collapsed="false">
      <c r="A97" s="49" t="s">
        <v>80</v>
      </c>
      <c r="B97" s="50" t="n">
        <v>2.25</v>
      </c>
      <c r="C97" s="50" t="n">
        <v>2.25</v>
      </c>
      <c r="D97" s="50" t="n">
        <v>2.25</v>
      </c>
      <c r="E97" s="50" t="n">
        <v>2.25</v>
      </c>
      <c r="F97" s="50" t="n">
        <v>2.25</v>
      </c>
      <c r="G97" s="50" t="n">
        <v>2.25</v>
      </c>
      <c r="H97" s="50" t="n">
        <v>2.25</v>
      </c>
      <c r="I97" s="50" t="n">
        <v>2.25</v>
      </c>
      <c r="J97" s="50" t="n">
        <v>2.25</v>
      </c>
      <c r="K97" s="50" t="n">
        <v>2.25</v>
      </c>
      <c r="L97" s="50" t="n">
        <v>2.25</v>
      </c>
      <c r="M97" s="50" t="n">
        <v>2.25</v>
      </c>
      <c r="N97" s="50" t="n">
        <v>2.25</v>
      </c>
      <c r="O97" s="50" t="n">
        <v>2.25</v>
      </c>
      <c r="P97" s="50" t="n">
        <v>2.25</v>
      </c>
    </row>
    <row r="99" customFormat="false" ht="15" hidden="false" customHeight="true" outlineLevel="0" collapsed="false">
      <c r="A99" s="29" t="s">
        <v>81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</row>
  </sheetData>
  <mergeCells count="47">
    <mergeCell ref="A1:AG1"/>
    <mergeCell ref="A2:AG2"/>
    <mergeCell ref="A3:AG3"/>
    <mergeCell ref="A4:AG4"/>
    <mergeCell ref="A5:AG5"/>
    <mergeCell ref="A6:AG6"/>
    <mergeCell ref="A7:C7"/>
    <mergeCell ref="D7:K7"/>
    <mergeCell ref="L7:AG7"/>
    <mergeCell ref="A8:C8"/>
    <mergeCell ref="D8:K8"/>
    <mergeCell ref="L8:AG8"/>
    <mergeCell ref="A9:C9"/>
    <mergeCell ref="D9:K9"/>
    <mergeCell ref="L9:AG9"/>
    <mergeCell ref="A10:AG10"/>
    <mergeCell ref="A11:A13"/>
    <mergeCell ref="B11:B13"/>
    <mergeCell ref="C11:C13"/>
    <mergeCell ref="D11:G11"/>
    <mergeCell ref="H11:K11"/>
    <mergeCell ref="L11:N11"/>
    <mergeCell ref="O11:O13"/>
    <mergeCell ref="P11:P13"/>
    <mergeCell ref="Q11:Q13"/>
    <mergeCell ref="R11:U11"/>
    <mergeCell ref="V11:Y11"/>
    <mergeCell ref="Z11:Z13"/>
    <mergeCell ref="AA11:AA13"/>
    <mergeCell ref="F12:F13"/>
    <mergeCell ref="G12:G13"/>
    <mergeCell ref="J12:J13"/>
    <mergeCell ref="K12:K13"/>
    <mergeCell ref="L12:L13"/>
    <mergeCell ref="M12:M13"/>
    <mergeCell ref="N12:N13"/>
    <mergeCell ref="R12:R13"/>
    <mergeCell ref="S12:S13"/>
    <mergeCell ref="T12:T13"/>
    <mergeCell ref="U12:U13"/>
    <mergeCell ref="V12:V13"/>
    <mergeCell ref="W12:W13"/>
    <mergeCell ref="X12:X13"/>
    <mergeCell ref="Y12:Y13"/>
    <mergeCell ref="A89:C89"/>
    <mergeCell ref="A91:AG91"/>
    <mergeCell ref="A99:AG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6" topLeftCell="D17" activePane="bottomRight" state="frozen"/>
      <selection pane="topLeft" activeCell="A1" activeCellId="0" sqref="A1"/>
      <selection pane="topRight" activeCell="D1" activeCellId="0" sqref="D1"/>
      <selection pane="bottomLeft" activeCell="A17" activeCellId="0" sqref="A1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25" min="4" style="0" width="5"/>
    <col collapsed="false" customWidth="true" hidden="false" outlineLevel="0" max="26" min="26" style="0" width="9"/>
    <col collapsed="false" customWidth="true" hidden="false" outlineLevel="0" max="28" min="27" style="0" width="7"/>
    <col collapsed="false" customWidth="true" hidden="false" outlineLevel="0" max="29" min="29" style="0" width="10"/>
    <col collapsed="false" customWidth="true" hidden="false" outlineLevel="0" max="31" min="30" style="0" width="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customFormat="false" ht="21.75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customFormat="false" ht="15" hidden="false" customHeight="false" outlineLevel="0" collapsed="false">
      <c r="A7" s="5" t="s">
        <v>3</v>
      </c>
      <c r="B7" s="5"/>
      <c r="C7" s="5"/>
      <c r="D7" s="5" t="s">
        <v>4</v>
      </c>
      <c r="E7" s="5"/>
      <c r="F7" s="5"/>
      <c r="G7" s="5"/>
      <c r="H7" s="5"/>
      <c r="I7" s="5"/>
      <c r="J7" s="5"/>
      <c r="K7" s="5"/>
      <c r="L7" s="5" t="s">
        <v>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customFormat="false" ht="15" hidden="false" customHeight="false" outlineLevel="0" collapsed="false">
      <c r="A8" s="5" t="s">
        <v>6</v>
      </c>
      <c r="B8" s="5"/>
      <c r="C8" s="5"/>
      <c r="D8" s="5" t="s">
        <v>82</v>
      </c>
      <c r="E8" s="5"/>
      <c r="F8" s="5"/>
      <c r="G8" s="5"/>
      <c r="H8" s="5"/>
      <c r="I8" s="5"/>
      <c r="J8" s="5"/>
      <c r="K8" s="5"/>
      <c r="L8" s="5" t="s">
        <v>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customFormat="false" ht="15" hidden="false" customHeight="false" outlineLevel="0" collapsed="false">
      <c r="A9" s="5" t="s">
        <v>9</v>
      </c>
      <c r="B9" s="5"/>
      <c r="C9" s="5"/>
      <c r="D9" s="5" t="s">
        <v>10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customFormat="false" ht="19.5" hidden="false" customHeight="true" outlineLevel="0" collapsed="false">
      <c r="A11" s="6" t="s">
        <v>11</v>
      </c>
      <c r="B11" s="6" t="s">
        <v>12</v>
      </c>
      <c r="C11" s="6" t="s">
        <v>13</v>
      </c>
      <c r="D11" s="7" t="s">
        <v>14</v>
      </c>
      <c r="E11" s="7"/>
      <c r="F11" s="7"/>
      <c r="G11" s="7"/>
      <c r="H11" s="7"/>
      <c r="I11" s="7"/>
      <c r="J11" s="7"/>
      <c r="K11" s="7"/>
      <c r="L11" s="7"/>
      <c r="M11" s="7"/>
      <c r="N11" s="7" t="s">
        <v>15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 t="s">
        <v>16</v>
      </c>
      <c r="AA11" s="8"/>
      <c r="AB11" s="8"/>
      <c r="AC11" s="9" t="s">
        <v>17</v>
      </c>
      <c r="AD11" s="10" t="s">
        <v>18</v>
      </c>
      <c r="AE11" s="11" t="s">
        <v>19</v>
      </c>
    </row>
    <row r="12" customFormat="false" ht="19.5" hidden="false" customHeight="true" outlineLevel="0" collapsed="false">
      <c r="A12" s="6"/>
      <c r="B12" s="6"/>
      <c r="C12" s="6"/>
      <c r="D12" s="12" t="s">
        <v>20</v>
      </c>
      <c r="E12" s="12"/>
      <c r="F12" s="12"/>
      <c r="G12" s="12"/>
      <c r="H12" s="12"/>
      <c r="I12" s="12"/>
      <c r="J12" s="13" t="s">
        <v>21</v>
      </c>
      <c r="K12" s="13"/>
      <c r="L12" s="13"/>
      <c r="M12" s="13"/>
      <c r="N12" s="14" t="s">
        <v>22</v>
      </c>
      <c r="O12" s="14"/>
      <c r="P12" s="14"/>
      <c r="Q12" s="14"/>
      <c r="R12" s="14"/>
      <c r="S12" s="14"/>
      <c r="T12" s="15" t="s">
        <v>23</v>
      </c>
      <c r="U12" s="15"/>
      <c r="V12" s="15"/>
      <c r="W12" s="15"/>
      <c r="X12" s="15"/>
      <c r="Y12" s="15"/>
      <c r="Z12" s="8" t="s">
        <v>24</v>
      </c>
      <c r="AA12" s="8"/>
      <c r="AB12" s="8"/>
      <c r="AC12" s="9"/>
      <c r="AD12" s="9"/>
      <c r="AE12" s="9"/>
    </row>
    <row r="13" customFormat="false" ht="19.5" hidden="false" customHeight="true" outlineLevel="0" collapsed="false">
      <c r="A13" s="6"/>
      <c r="B13" s="6"/>
      <c r="C13" s="6"/>
      <c r="D13" s="12" t="s">
        <v>25</v>
      </c>
      <c r="E13" s="12"/>
      <c r="F13" s="12"/>
      <c r="G13" s="12" t="s">
        <v>26</v>
      </c>
      <c r="H13" s="12"/>
      <c r="I13" s="12"/>
      <c r="J13" s="13" t="s">
        <v>27</v>
      </c>
      <c r="K13" s="13"/>
      <c r="L13" s="13" t="s">
        <v>28</v>
      </c>
      <c r="M13" s="13"/>
      <c r="N13" s="14" t="s">
        <v>25</v>
      </c>
      <c r="O13" s="14"/>
      <c r="P13" s="14"/>
      <c r="Q13" s="14" t="s">
        <v>26</v>
      </c>
      <c r="R13" s="14"/>
      <c r="S13" s="14"/>
      <c r="T13" s="15" t="s">
        <v>27</v>
      </c>
      <c r="U13" s="15"/>
      <c r="V13" s="15"/>
      <c r="W13" s="15" t="s">
        <v>28</v>
      </c>
      <c r="X13" s="15"/>
      <c r="Y13" s="15"/>
      <c r="Z13" s="16" t="s">
        <v>29</v>
      </c>
      <c r="AA13" s="16" t="s">
        <v>30</v>
      </c>
      <c r="AB13" s="16" t="s">
        <v>31</v>
      </c>
      <c r="AC13" s="9"/>
      <c r="AD13" s="9"/>
      <c r="AE13" s="9"/>
    </row>
    <row r="14" customFormat="false" ht="19.5" hidden="false" customHeight="true" outlineLevel="0" collapsed="false">
      <c r="A14" s="6"/>
      <c r="B14" s="6"/>
      <c r="C14" s="6"/>
      <c r="D14" s="17" t="s">
        <v>32</v>
      </c>
      <c r="E14" s="17" t="s">
        <v>33</v>
      </c>
      <c r="F14" s="17" t="s">
        <v>34</v>
      </c>
      <c r="G14" s="17" t="s">
        <v>32</v>
      </c>
      <c r="H14" s="17" t="s">
        <v>33</v>
      </c>
      <c r="I14" s="17" t="s">
        <v>34</v>
      </c>
      <c r="J14" s="18" t="s">
        <v>32</v>
      </c>
      <c r="K14" s="18" t="s">
        <v>33</v>
      </c>
      <c r="L14" s="18" t="s">
        <v>32</v>
      </c>
      <c r="M14" s="18" t="s">
        <v>33</v>
      </c>
      <c r="N14" s="19" t="s">
        <v>32</v>
      </c>
      <c r="O14" s="19" t="s">
        <v>33</v>
      </c>
      <c r="P14" s="19" t="s">
        <v>34</v>
      </c>
      <c r="Q14" s="19" t="s">
        <v>32</v>
      </c>
      <c r="R14" s="19" t="s">
        <v>33</v>
      </c>
      <c r="S14" s="19" t="s">
        <v>34</v>
      </c>
      <c r="T14" s="20" t="s">
        <v>32</v>
      </c>
      <c r="U14" s="20" t="s">
        <v>33</v>
      </c>
      <c r="V14" s="20" t="s">
        <v>34</v>
      </c>
      <c r="W14" s="20" t="s">
        <v>32</v>
      </c>
      <c r="X14" s="20" t="s">
        <v>33</v>
      </c>
      <c r="Y14" s="20" t="s">
        <v>34</v>
      </c>
      <c r="Z14" s="16"/>
      <c r="AA14" s="16"/>
      <c r="AB14" s="16"/>
      <c r="AC14" s="16"/>
      <c r="AD14" s="16"/>
      <c r="AE14" s="16"/>
    </row>
    <row r="15" customFormat="false" ht="19.5" hidden="false" customHeight="true" outlineLevel="0" collapsed="false">
      <c r="A15" s="6"/>
      <c r="B15" s="6"/>
      <c r="C15" s="6"/>
      <c r="D15" s="17" t="n">
        <v>5</v>
      </c>
      <c r="E15" s="17" t="n">
        <v>5</v>
      </c>
      <c r="F15" s="17" t="n">
        <v>5</v>
      </c>
      <c r="G15" s="17" t="n">
        <v>5</v>
      </c>
      <c r="H15" s="17" t="n">
        <v>5</v>
      </c>
      <c r="I15" s="17" t="n">
        <v>5</v>
      </c>
      <c r="J15" s="18" t="n">
        <v>7</v>
      </c>
      <c r="K15" s="18" t="n">
        <v>8</v>
      </c>
      <c r="L15" s="18" t="n">
        <v>7</v>
      </c>
      <c r="M15" s="18" t="n">
        <v>8</v>
      </c>
      <c r="N15" s="19" t="n">
        <v>5</v>
      </c>
      <c r="O15" s="19" t="n">
        <v>5</v>
      </c>
      <c r="P15" s="19" t="n">
        <v>5</v>
      </c>
      <c r="Q15" s="19" t="n">
        <v>5</v>
      </c>
      <c r="R15" s="19" t="n">
        <v>5</v>
      </c>
      <c r="S15" s="19" t="n">
        <v>5</v>
      </c>
      <c r="T15" s="20" t="n">
        <v>5</v>
      </c>
      <c r="U15" s="20" t="n">
        <v>5</v>
      </c>
      <c r="V15" s="20" t="n">
        <v>5</v>
      </c>
      <c r="W15" s="20" t="n">
        <v>5</v>
      </c>
      <c r="X15" s="20" t="n">
        <v>5</v>
      </c>
      <c r="Y15" s="20" t="n">
        <v>5</v>
      </c>
      <c r="Z15" s="16"/>
      <c r="AA15" s="16"/>
      <c r="AB15" s="16"/>
      <c r="AC15" s="16"/>
      <c r="AD15" s="16"/>
      <c r="AE15" s="16"/>
    </row>
    <row r="17" customFormat="false" ht="15.75" hidden="false" customHeight="true" outlineLevel="0" collapsed="false">
      <c r="A17" s="21" t="n">
        <v>1</v>
      </c>
      <c r="B17" s="22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customFormat="false" ht="15.75" hidden="false" customHeight="true" outlineLevel="0" collapsed="false">
      <c r="A18" s="24" t="n">
        <v>2</v>
      </c>
      <c r="B18" s="22"/>
      <c r="C18" s="22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</row>
    <row r="19" customFormat="false" ht="15.75" hidden="false" customHeight="true" outlineLevel="0" collapsed="false">
      <c r="A19" s="21" t="n">
        <v>3</v>
      </c>
      <c r="B19" s="22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customFormat="false" ht="15.75" hidden="false" customHeight="true" outlineLevel="0" collapsed="false">
      <c r="A20" s="24" t="n">
        <v>4</v>
      </c>
      <c r="B20" s="22"/>
      <c r="C20" s="22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</row>
    <row r="21" customFormat="false" ht="15.75" hidden="false" customHeight="true" outlineLevel="0" collapsed="false">
      <c r="A21" s="21" t="n">
        <v>5</v>
      </c>
      <c r="B21" s="22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customFormat="false" ht="15.75" hidden="false" customHeight="true" outlineLevel="0" collapsed="false">
      <c r="A22" s="24" t="n">
        <v>6</v>
      </c>
      <c r="B22" s="22"/>
      <c r="C22" s="22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customFormat="false" ht="15.75" hidden="false" customHeight="true" outlineLevel="0" collapsed="false">
      <c r="A23" s="21" t="n">
        <v>7</v>
      </c>
      <c r="B23" s="22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customFormat="false" ht="15.75" hidden="false" customHeight="true" outlineLevel="0" collapsed="false">
      <c r="A24" s="24" t="n">
        <v>8</v>
      </c>
      <c r="B24" s="22"/>
      <c r="C24" s="22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</row>
    <row r="25" customFormat="false" ht="15.75" hidden="false" customHeight="true" outlineLevel="0" collapsed="false">
      <c r="A25" s="21" t="n">
        <v>9</v>
      </c>
      <c r="B25" s="22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customFormat="false" ht="15.75" hidden="false" customHeight="true" outlineLevel="0" collapsed="false">
      <c r="A26" s="24" t="n">
        <v>10</v>
      </c>
      <c r="B26" s="22"/>
      <c r="C26" s="22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</row>
    <row r="27" customFormat="false" ht="15.75" hidden="false" customHeight="true" outlineLevel="0" collapsed="false">
      <c r="A27" s="21" t="n">
        <v>11</v>
      </c>
      <c r="B27" s="22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 customFormat="false" ht="15.75" hidden="false" customHeight="true" outlineLevel="0" collapsed="false">
      <c r="A28" s="24" t="n">
        <v>12</v>
      </c>
      <c r="B28" s="22"/>
      <c r="C28" s="22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</row>
    <row r="29" customFormat="false" ht="15.75" hidden="false" customHeight="true" outlineLevel="0" collapsed="false">
      <c r="A29" s="21" t="n">
        <v>13</v>
      </c>
      <c r="B29" s="22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 customFormat="false" ht="15.75" hidden="false" customHeight="true" outlineLevel="0" collapsed="false">
      <c r="A30" s="24" t="n">
        <v>14</v>
      </c>
      <c r="B30" s="22"/>
      <c r="C30" s="22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</row>
    <row r="31" customFormat="false" ht="15.75" hidden="false" customHeight="true" outlineLevel="0" collapsed="false">
      <c r="A31" s="21" t="n">
        <v>15</v>
      </c>
      <c r="B31" s="22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customFormat="false" ht="15.75" hidden="false" customHeight="true" outlineLevel="0" collapsed="false">
      <c r="A32" s="24" t="n">
        <v>16</v>
      </c>
      <c r="B32" s="22"/>
      <c r="C32" s="22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</row>
    <row r="33" customFormat="false" ht="15.75" hidden="false" customHeight="true" outlineLevel="0" collapsed="false">
      <c r="A33" s="21" t="n">
        <v>17</v>
      </c>
      <c r="B33" s="22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customFormat="false" ht="15.75" hidden="false" customHeight="true" outlineLevel="0" collapsed="false">
      <c r="A34" s="24" t="n">
        <v>18</v>
      </c>
      <c r="B34" s="22"/>
      <c r="C34" s="22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</row>
    <row r="35" customFormat="false" ht="15.75" hidden="false" customHeight="true" outlineLevel="0" collapsed="false">
      <c r="A35" s="21" t="n">
        <v>19</v>
      </c>
      <c r="B35" s="22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 customFormat="false" ht="15.75" hidden="false" customHeight="true" outlineLevel="0" collapsed="false">
      <c r="A36" s="24" t="n">
        <v>20</v>
      </c>
      <c r="B36" s="22"/>
      <c r="C36" s="22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</row>
    <row r="37" customFormat="false" ht="15.75" hidden="false" customHeight="true" outlineLevel="0" collapsed="false">
      <c r="A37" s="21" t="n">
        <v>21</v>
      </c>
      <c r="B37" s="22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 customFormat="false" ht="15.75" hidden="false" customHeight="true" outlineLevel="0" collapsed="false">
      <c r="A38" s="24" t="n">
        <v>22</v>
      </c>
      <c r="B38" s="22"/>
      <c r="C38" s="22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</row>
    <row r="39" customFormat="false" ht="15.75" hidden="false" customHeight="true" outlineLevel="0" collapsed="false">
      <c r="A39" s="21" t="n">
        <v>23</v>
      </c>
      <c r="B39" s="22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 customFormat="false" ht="15.75" hidden="false" customHeight="true" outlineLevel="0" collapsed="false">
      <c r="A40" s="24" t="n">
        <v>24</v>
      </c>
      <c r="B40" s="22"/>
      <c r="C40" s="22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</row>
    <row r="41" customFormat="false" ht="15.75" hidden="false" customHeight="true" outlineLevel="0" collapsed="false">
      <c r="A41" s="21" t="n">
        <v>25</v>
      </c>
      <c r="B41" s="22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  <row r="42" customFormat="false" ht="15.75" hidden="false" customHeight="true" outlineLevel="0" collapsed="false">
      <c r="A42" s="24" t="n">
        <v>26</v>
      </c>
      <c r="B42" s="22"/>
      <c r="C42" s="22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</row>
    <row r="43" customFormat="false" ht="15.75" hidden="false" customHeight="true" outlineLevel="0" collapsed="false">
      <c r="A43" s="21" t="n">
        <v>27</v>
      </c>
      <c r="B43" s="22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</row>
    <row r="44" customFormat="false" ht="15.75" hidden="false" customHeight="true" outlineLevel="0" collapsed="false">
      <c r="A44" s="24" t="n">
        <v>28</v>
      </c>
      <c r="B44" s="22"/>
      <c r="C44" s="22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</row>
    <row r="45" customFormat="false" ht="15.75" hidden="false" customHeight="true" outlineLevel="0" collapsed="false">
      <c r="A45" s="21" t="n">
        <v>29</v>
      </c>
      <c r="B45" s="22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 customFormat="false" ht="15.75" hidden="false" customHeight="true" outlineLevel="0" collapsed="false">
      <c r="A46" s="24" t="n">
        <v>30</v>
      </c>
      <c r="B46" s="22"/>
      <c r="C46" s="22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</row>
    <row r="47" customFormat="false" ht="15.75" hidden="false" customHeight="true" outlineLevel="0" collapsed="false">
      <c r="A47" s="21" t="n">
        <v>31</v>
      </c>
      <c r="B47" s="22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 customFormat="false" ht="15.75" hidden="false" customHeight="true" outlineLevel="0" collapsed="false">
      <c r="A48" s="24" t="n">
        <v>32</v>
      </c>
      <c r="B48" s="22"/>
      <c r="C48" s="22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</row>
    <row r="49" customFormat="false" ht="15.75" hidden="false" customHeight="true" outlineLevel="0" collapsed="false">
      <c r="A49" s="21" t="n">
        <v>33</v>
      </c>
      <c r="B49" s="22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 customFormat="false" ht="15.75" hidden="false" customHeight="true" outlineLevel="0" collapsed="false">
      <c r="A50" s="24" t="n">
        <v>34</v>
      </c>
      <c r="B50" s="22"/>
      <c r="C50" s="22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</row>
    <row r="51" customFormat="false" ht="15.75" hidden="false" customHeight="true" outlineLevel="0" collapsed="false">
      <c r="A51" s="21" t="n">
        <v>35</v>
      </c>
      <c r="B51" s="22"/>
      <c r="C51" s="22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 customFormat="false" ht="15.75" hidden="false" customHeight="true" outlineLevel="0" collapsed="false">
      <c r="A52" s="24" t="n">
        <v>36</v>
      </c>
      <c r="B52" s="22"/>
      <c r="C52" s="22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</row>
    <row r="53" customFormat="false" ht="15.75" hidden="false" customHeight="true" outlineLevel="0" collapsed="false">
      <c r="A53" s="21" t="n">
        <v>37</v>
      </c>
      <c r="B53" s="22"/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 customFormat="false" ht="15.75" hidden="false" customHeight="true" outlineLevel="0" collapsed="false">
      <c r="A54" s="24" t="n">
        <v>38</v>
      </c>
      <c r="B54" s="22"/>
      <c r="C54" s="22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</row>
    <row r="55" customFormat="false" ht="15.75" hidden="false" customHeight="true" outlineLevel="0" collapsed="false">
      <c r="A55" s="21" t="n">
        <v>39</v>
      </c>
      <c r="B55" s="22"/>
      <c r="C55" s="22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 customFormat="false" ht="15.75" hidden="false" customHeight="true" outlineLevel="0" collapsed="false">
      <c r="A56" s="24" t="n">
        <v>40</v>
      </c>
      <c r="B56" s="22"/>
      <c r="C56" s="22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</row>
    <row r="57" customFormat="false" ht="15.75" hidden="false" customHeight="true" outlineLevel="0" collapsed="false">
      <c r="A57" s="21" t="n">
        <v>41</v>
      </c>
      <c r="B57" s="22"/>
      <c r="C57" s="22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</row>
    <row r="58" customFormat="false" ht="15.75" hidden="false" customHeight="true" outlineLevel="0" collapsed="false">
      <c r="A58" s="24" t="n">
        <v>42</v>
      </c>
      <c r="B58" s="22"/>
      <c r="C58" s="22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</row>
    <row r="59" customFormat="false" ht="15.75" hidden="false" customHeight="true" outlineLevel="0" collapsed="false">
      <c r="A59" s="21" t="n">
        <v>43</v>
      </c>
      <c r="B59" s="22"/>
      <c r="C59" s="22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</row>
    <row r="60" customFormat="false" ht="15.75" hidden="false" customHeight="true" outlineLevel="0" collapsed="false">
      <c r="A60" s="24" t="n">
        <v>44</v>
      </c>
      <c r="B60" s="22"/>
      <c r="C60" s="22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</row>
    <row r="61" customFormat="false" ht="15.75" hidden="false" customHeight="true" outlineLevel="0" collapsed="false">
      <c r="A61" s="21" t="n">
        <v>45</v>
      </c>
      <c r="B61" s="22"/>
      <c r="C61" s="22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</row>
    <row r="62" customFormat="false" ht="15.75" hidden="false" customHeight="true" outlineLevel="0" collapsed="false">
      <c r="A62" s="24" t="n">
        <v>46</v>
      </c>
      <c r="B62" s="22"/>
      <c r="C62" s="22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</row>
    <row r="63" customFormat="false" ht="15.75" hidden="false" customHeight="true" outlineLevel="0" collapsed="false">
      <c r="A63" s="21" t="n">
        <v>47</v>
      </c>
      <c r="B63" s="22"/>
      <c r="C63" s="22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</row>
    <row r="64" customFormat="false" ht="15.75" hidden="false" customHeight="true" outlineLevel="0" collapsed="false">
      <c r="A64" s="24" t="n">
        <v>48</v>
      </c>
      <c r="B64" s="22"/>
      <c r="C64" s="22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</row>
    <row r="65" customFormat="false" ht="15.75" hidden="false" customHeight="true" outlineLevel="0" collapsed="false">
      <c r="A65" s="21" t="n">
        <v>49</v>
      </c>
      <c r="B65" s="22"/>
      <c r="C65" s="22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</row>
    <row r="66" customFormat="false" ht="15.75" hidden="false" customHeight="true" outlineLevel="0" collapsed="false">
      <c r="A66" s="24" t="n">
        <v>50</v>
      </c>
      <c r="B66" s="22"/>
      <c r="C66" s="22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</row>
    <row r="67" customFormat="false" ht="15.75" hidden="false" customHeight="true" outlineLevel="0" collapsed="false">
      <c r="A67" s="21" t="n">
        <v>51</v>
      </c>
      <c r="B67" s="22"/>
      <c r="C67" s="22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</row>
    <row r="68" customFormat="false" ht="15.75" hidden="false" customHeight="true" outlineLevel="0" collapsed="false">
      <c r="A68" s="24" t="n">
        <v>52</v>
      </c>
      <c r="B68" s="22"/>
      <c r="C68" s="22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</row>
    <row r="69" customFormat="false" ht="15.75" hidden="false" customHeight="true" outlineLevel="0" collapsed="false">
      <c r="A69" s="21" t="n">
        <v>53</v>
      </c>
      <c r="B69" s="22"/>
      <c r="C69" s="22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 customFormat="false" ht="15.75" hidden="false" customHeight="true" outlineLevel="0" collapsed="false">
      <c r="A70" s="24" t="n">
        <v>54</v>
      </c>
      <c r="B70" s="22"/>
      <c r="C70" s="22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</row>
    <row r="71" customFormat="false" ht="15.75" hidden="false" customHeight="true" outlineLevel="0" collapsed="false">
      <c r="A71" s="21" t="n">
        <v>55</v>
      </c>
      <c r="B71" s="22"/>
      <c r="C71" s="22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 customFormat="false" ht="15.75" hidden="false" customHeight="true" outlineLevel="0" collapsed="false">
      <c r="A72" s="24" t="n">
        <v>56</v>
      </c>
      <c r="B72" s="22"/>
      <c r="C72" s="22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</row>
    <row r="73" customFormat="false" ht="15.75" hidden="false" customHeight="true" outlineLevel="0" collapsed="false">
      <c r="A73" s="21" t="n">
        <v>57</v>
      </c>
      <c r="B73" s="22"/>
      <c r="C73" s="22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 customFormat="false" ht="15.75" hidden="false" customHeight="true" outlineLevel="0" collapsed="false">
      <c r="A74" s="24" t="n">
        <v>58</v>
      </c>
      <c r="B74" s="22"/>
      <c r="C74" s="22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</row>
    <row r="75" customFormat="false" ht="15.75" hidden="false" customHeight="true" outlineLevel="0" collapsed="false">
      <c r="A75" s="21" t="n">
        <v>59</v>
      </c>
      <c r="B75" s="22"/>
      <c r="C75" s="22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 customFormat="false" ht="15.75" hidden="false" customHeight="true" outlineLevel="0" collapsed="false">
      <c r="A76" s="24" t="n">
        <v>60</v>
      </c>
      <c r="B76" s="22"/>
      <c r="C76" s="22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</row>
    <row r="77" customFormat="false" ht="15.75" hidden="false" customHeight="true" outlineLevel="0" collapsed="false">
      <c r="A77" s="21" t="n">
        <v>61</v>
      </c>
      <c r="B77" s="22"/>
      <c r="C77" s="22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 customFormat="false" ht="15.75" hidden="false" customHeight="true" outlineLevel="0" collapsed="false">
      <c r="A78" s="24" t="n">
        <v>62</v>
      </c>
      <c r="B78" s="22"/>
      <c r="C78" s="22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</row>
    <row r="79" customFormat="false" ht="15.75" hidden="false" customHeight="true" outlineLevel="0" collapsed="false">
      <c r="A79" s="21" t="n">
        <v>63</v>
      </c>
      <c r="B79" s="22"/>
      <c r="C79" s="22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 customFormat="false" ht="15.75" hidden="false" customHeight="true" outlineLevel="0" collapsed="false">
      <c r="A80" s="24" t="n">
        <v>64</v>
      </c>
      <c r="B80" s="22"/>
      <c r="C80" s="22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</row>
    <row r="81" customFormat="false" ht="15.75" hidden="false" customHeight="true" outlineLevel="0" collapsed="false">
      <c r="A81" s="21" t="n">
        <v>65</v>
      </c>
      <c r="B81" s="22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 customFormat="false" ht="15.75" hidden="false" customHeight="true" outlineLevel="0" collapsed="false">
      <c r="A82" s="24" t="n">
        <v>66</v>
      </c>
      <c r="B82" s="22"/>
      <c r="C82" s="22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</row>
    <row r="83" customFormat="false" ht="15.75" hidden="false" customHeight="true" outlineLevel="0" collapsed="false">
      <c r="A83" s="21" t="n">
        <v>67</v>
      </c>
      <c r="B83" s="22"/>
      <c r="C83" s="22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customFormat="false" ht="15.75" hidden="false" customHeight="true" outlineLevel="0" collapsed="false">
      <c r="A84" s="24" t="n">
        <v>68</v>
      </c>
      <c r="B84" s="22"/>
      <c r="C84" s="22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</row>
    <row r="85" customFormat="false" ht="15.75" hidden="false" customHeight="true" outlineLevel="0" collapsed="false">
      <c r="A85" s="21" t="n">
        <v>69</v>
      </c>
      <c r="B85" s="22"/>
      <c r="C85" s="22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 customFormat="false" ht="15.75" hidden="false" customHeight="true" outlineLevel="0" collapsed="false">
      <c r="A86" s="24" t="n">
        <v>70</v>
      </c>
      <c r="B86" s="22"/>
      <c r="C86" s="22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</row>
    <row r="87" customFormat="false" ht="15.75" hidden="false" customHeight="true" outlineLevel="0" collapsed="false">
      <c r="A87" s="21" t="n">
        <v>71</v>
      </c>
      <c r="B87" s="22"/>
      <c r="C87" s="22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 customFormat="false" ht="15.75" hidden="false" customHeight="true" outlineLevel="0" collapsed="false">
      <c r="A88" s="24" t="n">
        <v>72</v>
      </c>
      <c r="B88" s="22"/>
      <c r="C88" s="22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</row>
    <row r="89" customFormat="false" ht="15.75" hidden="false" customHeight="true" outlineLevel="0" collapsed="false">
      <c r="A89" s="21" t="n">
        <v>73</v>
      </c>
      <c r="B89" s="22"/>
      <c r="C89" s="22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customFormat="false" ht="15.75" hidden="false" customHeight="true" outlineLevel="0" collapsed="false">
      <c r="A90" s="24" t="n">
        <v>74</v>
      </c>
      <c r="B90" s="22"/>
      <c r="C90" s="22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</row>
    <row r="91" customFormat="false" ht="15.75" hidden="false" customHeight="true" outlineLevel="0" collapsed="false">
      <c r="A91" s="21" t="n">
        <v>75</v>
      </c>
      <c r="B91" s="22"/>
      <c r="C91" s="22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 customFormat="false" ht="18" hidden="false" customHeight="true" outlineLevel="0" collapsed="false">
      <c r="A92" s="26" t="s">
        <v>35</v>
      </c>
      <c r="B92" s="26"/>
      <c r="C92" s="26"/>
      <c r="D92" s="27" t="str">
        <f aca="false">IFERROR(AVERAGE(D17:D91),"")</f>
        <v/>
      </c>
      <c r="E92" s="27" t="str">
        <f aca="false">IFERROR(AVERAGE(E17:E91),"")</f>
        <v/>
      </c>
      <c r="F92" s="27" t="str">
        <f aca="false">IFERROR(AVERAGE(F17:F91),"")</f>
        <v/>
      </c>
      <c r="G92" s="27" t="str">
        <f aca="false">IFERROR(AVERAGE(G17:G91),"")</f>
        <v/>
      </c>
      <c r="H92" s="27" t="str">
        <f aca="false">IFERROR(AVERAGE(H17:H91),"")</f>
        <v/>
      </c>
      <c r="I92" s="27" t="str">
        <f aca="false">IFERROR(AVERAGE(I17:I91),"")</f>
        <v/>
      </c>
      <c r="J92" s="27" t="str">
        <f aca="false">IFERROR(AVERAGE(J17:J91),"")</f>
        <v/>
      </c>
      <c r="K92" s="27" t="str">
        <f aca="false">IFERROR(AVERAGE(K17:K91),"")</f>
        <v/>
      </c>
      <c r="L92" s="27" t="str">
        <f aca="false">IFERROR(AVERAGE(L17:L91),"")</f>
        <v/>
      </c>
      <c r="M92" s="27" t="str">
        <f aca="false">IFERROR(AVERAGE(M17:M91),"")</f>
        <v/>
      </c>
      <c r="N92" s="27" t="str">
        <f aca="false">IFERROR(AVERAGE(N17:N91),"")</f>
        <v/>
      </c>
      <c r="O92" s="27" t="str">
        <f aca="false">IFERROR(AVERAGE(O17:O91),"")</f>
        <v/>
      </c>
      <c r="P92" s="27" t="str">
        <f aca="false">IFERROR(AVERAGE(P17:P91),"")</f>
        <v/>
      </c>
      <c r="Q92" s="27" t="str">
        <f aca="false">IFERROR(AVERAGE(Q17:Q91),"")</f>
        <v/>
      </c>
      <c r="R92" s="27" t="str">
        <f aca="false">IFERROR(AVERAGE(R17:R91),"")</f>
        <v/>
      </c>
      <c r="S92" s="27" t="str">
        <f aca="false">IFERROR(AVERAGE(S17:S91),"")</f>
        <v/>
      </c>
      <c r="T92" s="27" t="str">
        <f aca="false">IFERROR(AVERAGE(T17:T91),"")</f>
        <v/>
      </c>
      <c r="U92" s="27" t="str">
        <f aca="false">IFERROR(AVERAGE(U17:U91),"")</f>
        <v/>
      </c>
      <c r="V92" s="27" t="str">
        <f aca="false">IFERROR(AVERAGE(V17:V91),"")</f>
        <v/>
      </c>
      <c r="W92" s="27" t="str">
        <f aca="false">IFERROR(AVERAGE(W17:W91),"")</f>
        <v/>
      </c>
      <c r="X92" s="27" t="str">
        <f aca="false">IFERROR(AVERAGE(X17:X91),"")</f>
        <v/>
      </c>
      <c r="Y92" s="27" t="str">
        <f aca="false">IFERROR(AVERAGE(Y17:Y91),"")</f>
        <v/>
      </c>
      <c r="Z92" s="27" t="str">
        <f aca="false">IFERROR(AVERAGE(Z17:Z91),"")</f>
        <v/>
      </c>
      <c r="AA92" s="27" t="str">
        <f aca="false">IFERROR(AVERAGE(AA17:AA91),"")</f>
        <v/>
      </c>
      <c r="AB92" s="27" t="str">
        <f aca="false">IFERROR(AVERAGE(AB17:AB91),"")</f>
        <v/>
      </c>
      <c r="AC92" s="27" t="str">
        <f aca="false">IFERROR(AVERAGE(AC17:AC91),"")</f>
        <v/>
      </c>
      <c r="AD92" s="27" t="str">
        <f aca="false">IFERROR(AVERAGE(AD17:AD91),"")</f>
        <v/>
      </c>
      <c r="AE92" s="27" t="str">
        <f aca="false">IFERROR(AVERAGE(AE17:AE91),"")</f>
        <v/>
      </c>
    </row>
    <row r="94" customFormat="false" ht="15" hidden="false" customHeight="false" outlineLevel="0" collapsed="false">
      <c r="A94" s="28" t="s">
        <v>36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</row>
    <row r="95" customFormat="false" ht="15" hidden="false" customHeight="true" outlineLevel="0" collapsed="false">
      <c r="A95" s="29" t="s">
        <v>37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customFormat="false" ht="15" hidden="false" customHeight="true" outlineLevel="0" collapsed="false">
      <c r="A96" s="29" t="s">
        <v>38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</row>
    <row r="97" customFormat="false" ht="15" hidden="false" customHeight="true" outlineLevel="0" collapsed="false">
      <c r="A97" s="29" t="s">
        <v>39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</row>
    <row r="98" customFormat="false" ht="15" hidden="false" customHeight="true" outlineLevel="0" collapsed="false">
      <c r="A98" s="29" t="s">
        <v>40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</row>
  </sheetData>
  <mergeCells count="47">
    <mergeCell ref="A1:AE1"/>
    <mergeCell ref="A2:AE2"/>
    <mergeCell ref="A3:AE3"/>
    <mergeCell ref="A4:AE4"/>
    <mergeCell ref="A5:AE5"/>
    <mergeCell ref="A6:AE6"/>
    <mergeCell ref="A7:C7"/>
    <mergeCell ref="D7:K7"/>
    <mergeCell ref="L7:AE7"/>
    <mergeCell ref="A8:C8"/>
    <mergeCell ref="D8:K8"/>
    <mergeCell ref="L8:AE8"/>
    <mergeCell ref="A9:C9"/>
    <mergeCell ref="D9:K9"/>
    <mergeCell ref="L9:AE9"/>
    <mergeCell ref="A10:AE10"/>
    <mergeCell ref="A11:A15"/>
    <mergeCell ref="B11:B15"/>
    <mergeCell ref="C11:C15"/>
    <mergeCell ref="D11:M11"/>
    <mergeCell ref="N11:Y11"/>
    <mergeCell ref="Z11:AB11"/>
    <mergeCell ref="AC11:AC15"/>
    <mergeCell ref="AD11:AD15"/>
    <mergeCell ref="AE11:AE15"/>
    <mergeCell ref="D12:I12"/>
    <mergeCell ref="J12:M12"/>
    <mergeCell ref="N12:S12"/>
    <mergeCell ref="T12:Y12"/>
    <mergeCell ref="Z12:AB12"/>
    <mergeCell ref="D13:F13"/>
    <mergeCell ref="G13:I13"/>
    <mergeCell ref="J13:K13"/>
    <mergeCell ref="L13:M13"/>
    <mergeCell ref="N13:P13"/>
    <mergeCell ref="Q13:S13"/>
    <mergeCell ref="T13:V13"/>
    <mergeCell ref="W13:Y13"/>
    <mergeCell ref="Z13:Z15"/>
    <mergeCell ref="AA13:AA15"/>
    <mergeCell ref="AB13:AB15"/>
    <mergeCell ref="A92:C92"/>
    <mergeCell ref="A94:AE94"/>
    <mergeCell ref="A95:AE95"/>
    <mergeCell ref="A96:AE96"/>
    <mergeCell ref="A97:AE97"/>
    <mergeCell ref="A98:AE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8" min="4" style="0" width="10"/>
    <col collapsed="false" customWidth="true" hidden="false" outlineLevel="0" max="10" min="9" style="0" width="8"/>
    <col collapsed="false" customWidth="true" hidden="false" outlineLevel="0" max="14" min="11" style="0" width="10"/>
    <col collapsed="false" customWidth="true" hidden="false" outlineLevel="0" max="16" min="15" style="0" width="8"/>
    <col collapsed="false" customWidth="true" hidden="false" outlineLevel="0" max="18" min="17" style="0" width="10"/>
    <col collapsed="false" customWidth="true" hidden="false" outlineLevel="0" max="19" min="19" style="0" width="12"/>
    <col collapsed="false" customWidth="true" hidden="false" outlineLevel="0" max="33" min="20" style="0" width="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customFormat="false" ht="21.75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customFormat="false" ht="15" hidden="false" customHeight="false" outlineLevel="0" collapsed="false">
      <c r="A7" s="5" t="s">
        <v>3</v>
      </c>
      <c r="B7" s="5"/>
      <c r="C7" s="5"/>
      <c r="D7" s="5" t="s">
        <v>4</v>
      </c>
      <c r="E7" s="5"/>
      <c r="F7" s="5"/>
      <c r="G7" s="5"/>
      <c r="H7" s="5"/>
      <c r="I7" s="5"/>
      <c r="J7" s="5"/>
      <c r="K7" s="5"/>
      <c r="L7" s="5" t="s">
        <v>41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customFormat="false" ht="15" hidden="false" customHeight="false" outlineLevel="0" collapsed="false">
      <c r="A8" s="5" t="s">
        <v>6</v>
      </c>
      <c r="B8" s="5"/>
      <c r="C8" s="5"/>
      <c r="D8" s="5" t="s">
        <v>82</v>
      </c>
      <c r="E8" s="5"/>
      <c r="F8" s="5"/>
      <c r="G8" s="5"/>
      <c r="H8" s="5"/>
      <c r="I8" s="5"/>
      <c r="J8" s="5"/>
      <c r="K8" s="5"/>
      <c r="L8" s="5" t="s">
        <v>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customFormat="false" ht="15" hidden="false" customHeight="false" outlineLevel="0" collapsed="false">
      <c r="A9" s="5" t="s">
        <v>9</v>
      </c>
      <c r="B9" s="5"/>
      <c r="C9" s="5"/>
      <c r="D9" s="5" t="s">
        <v>10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customFormat="false" ht="22.35" hidden="false" customHeight="true" outlineLevel="0" collapsed="false">
      <c r="A11" s="6" t="s">
        <v>11</v>
      </c>
      <c r="B11" s="6" t="s">
        <v>12</v>
      </c>
      <c r="C11" s="6" t="s">
        <v>13</v>
      </c>
      <c r="D11" s="7" t="s">
        <v>42</v>
      </c>
      <c r="E11" s="7"/>
      <c r="F11" s="7"/>
      <c r="G11" s="7"/>
      <c r="H11" s="7" t="s">
        <v>43</v>
      </c>
      <c r="I11" s="7"/>
      <c r="J11" s="7"/>
      <c r="K11" s="7"/>
      <c r="L11" s="8" t="s">
        <v>44</v>
      </c>
      <c r="M11" s="8"/>
      <c r="N11" s="8"/>
      <c r="O11" s="9" t="s">
        <v>45</v>
      </c>
      <c r="P11" s="10" t="s">
        <v>46</v>
      </c>
      <c r="Q11" s="11" t="s">
        <v>47</v>
      </c>
      <c r="R11" s="8" t="s">
        <v>48</v>
      </c>
      <c r="S11" s="8"/>
      <c r="T11" s="8"/>
      <c r="U11" s="8"/>
      <c r="V11" s="30" t="s">
        <v>49</v>
      </c>
      <c r="W11" s="30"/>
      <c r="X11" s="30"/>
      <c r="Y11" s="30"/>
      <c r="Z11" s="6" t="s">
        <v>50</v>
      </c>
      <c r="AA11" s="6" t="s">
        <v>51</v>
      </c>
    </row>
    <row r="12" customFormat="false" ht="22.35" hidden="false" customHeight="true" outlineLevel="0" collapsed="false">
      <c r="A12" s="6"/>
      <c r="B12" s="6"/>
      <c r="C12" s="6"/>
      <c r="D12" s="17" t="s">
        <v>52</v>
      </c>
      <c r="E12" s="18" t="s">
        <v>53</v>
      </c>
      <c r="F12" s="6" t="s">
        <v>54</v>
      </c>
      <c r="G12" s="6" t="s">
        <v>55</v>
      </c>
      <c r="H12" s="19" t="s">
        <v>56</v>
      </c>
      <c r="I12" s="20" t="s">
        <v>57</v>
      </c>
      <c r="J12" s="6" t="s">
        <v>54</v>
      </c>
      <c r="K12" s="6" t="s">
        <v>55</v>
      </c>
      <c r="L12" s="16" t="s">
        <v>58</v>
      </c>
      <c r="M12" s="16" t="s">
        <v>59</v>
      </c>
      <c r="N12" s="16" t="s">
        <v>60</v>
      </c>
      <c r="O12" s="9"/>
      <c r="P12" s="9"/>
      <c r="Q12" s="9"/>
      <c r="R12" s="31" t="s">
        <v>20</v>
      </c>
      <c r="S12" s="32" t="s">
        <v>21</v>
      </c>
      <c r="T12" s="33" t="s">
        <v>22</v>
      </c>
      <c r="U12" s="34" t="s">
        <v>23</v>
      </c>
      <c r="V12" s="31" t="s">
        <v>20</v>
      </c>
      <c r="W12" s="32" t="s">
        <v>21</v>
      </c>
      <c r="X12" s="33" t="s">
        <v>22</v>
      </c>
      <c r="Y12" s="34" t="s">
        <v>23</v>
      </c>
      <c r="Z12" s="6"/>
      <c r="AA12" s="6"/>
    </row>
    <row r="13" customFormat="false" ht="15" hidden="false" customHeight="false" outlineLevel="0" collapsed="false">
      <c r="A13" s="6"/>
      <c r="B13" s="6"/>
      <c r="C13" s="6"/>
      <c r="D13" s="17" t="s">
        <v>61</v>
      </c>
      <c r="E13" s="18" t="s">
        <v>61</v>
      </c>
      <c r="F13" s="6"/>
      <c r="G13" s="6"/>
      <c r="H13" s="19" t="s">
        <v>61</v>
      </c>
      <c r="I13" s="20" t="s">
        <v>61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customFormat="false" ht="15" hidden="false" customHeight="true" outlineLevel="0" collapsed="false">
      <c r="A14" s="35" t="n">
        <v>1</v>
      </c>
      <c r="B14" s="35" t="n">
        <f aca="false">'Mid &amp; Assgn - B'!B17</f>
        <v>0</v>
      </c>
      <c r="C14" s="35" t="n">
        <f aca="false">'Mid &amp; Assgn - B'!C17</f>
        <v>0</v>
      </c>
      <c r="D14" s="36" t="n">
        <f aca="false">IFERROR(SUM('Mid &amp; Assgn - B'!D17:I17),0)</f>
        <v>0</v>
      </c>
      <c r="E14" s="36" t="n">
        <f aca="false">IFERROR(SUM('Mid &amp; Assgn - B'!J17:M17),0)</f>
        <v>0</v>
      </c>
      <c r="F14" s="36" t="n">
        <f aca="false">D14+E14</f>
        <v>0</v>
      </c>
      <c r="G14" s="36" t="n">
        <f aca="false">IFERROR(ROUND(F14/30*15,2),0)</f>
        <v>0</v>
      </c>
      <c r="H14" s="36" t="n">
        <f aca="false">IFERROR(SUM('Mid &amp; Assgn - B'!N17:S17),0)</f>
        <v>0</v>
      </c>
      <c r="I14" s="36" t="n">
        <f aca="false">IFERROR(SUM('Mid &amp; Assgn - B'!T17:Y17),0)</f>
        <v>0</v>
      </c>
      <c r="J14" s="36" t="n">
        <f aca="false">H14+I14</f>
        <v>0</v>
      </c>
      <c r="K14" s="36" t="n">
        <f aca="false">IFERROR(ROUND(J14/30*15,2),0)</f>
        <v>0</v>
      </c>
      <c r="L14" s="36" t="n">
        <f aca="false">'Mid &amp; Assgn - B'!Z17</f>
        <v>0</v>
      </c>
      <c r="M14" s="36" t="n">
        <f aca="false">'Mid &amp; Assgn - B'!AA17</f>
        <v>0</v>
      </c>
      <c r="N14" s="36" t="n">
        <f aca="false">'Mid &amp; Assgn - B'!AB17</f>
        <v>0</v>
      </c>
      <c r="O14" s="36" t="n">
        <f aca="false">'Mid &amp; Assgn - B'!AC17</f>
        <v>0</v>
      </c>
      <c r="P14" s="36" t="n">
        <f aca="false">'Mid &amp; Assgn - B'!AD17</f>
        <v>0</v>
      </c>
      <c r="Q14" s="36" t="n">
        <f aca="false">'Mid &amp; Assgn - B'!AE17</f>
        <v>0</v>
      </c>
      <c r="R14" s="36" t="n">
        <f aca="false">IF(D14/30&gt;=0.7,3,IF(D14/30&gt;=0.5,2,IF(D14/30&gt;=0.35,1,0)))</f>
        <v>0</v>
      </c>
      <c r="S14" s="36" t="n">
        <f aca="false">IF(E14/30&gt;=0.7,3,IF(E14/30&gt;=0.5,2,IF(E14/30&gt;=0.35,1,0)))</f>
        <v>0</v>
      </c>
      <c r="T14" s="36" t="n">
        <f aca="false">IF(H14/30&gt;=0.7,3,IF(H14/30&gt;=0.5,2,IF(H14/30&gt;=0.35,1,0)))</f>
        <v>0</v>
      </c>
      <c r="U14" s="36" t="n">
        <f aca="false">IF(I14/30&gt;=0.7,3,IF(I14/30&gt;=0.5,2,IF(I14/30&gt;=0.35,1,0)))</f>
        <v>0</v>
      </c>
      <c r="V14" s="36"/>
      <c r="W14" s="36"/>
      <c r="X14" s="36"/>
      <c r="Y14" s="36"/>
      <c r="Z14" s="36" t="n">
        <f aca="false">G14+K14+L14+M14+N14+O14+P14</f>
        <v>0</v>
      </c>
      <c r="AA14" s="36" t="n">
        <f aca="false">IFERROR(AVERAGE(R14:U14),0)</f>
        <v>0</v>
      </c>
    </row>
    <row r="15" customFormat="false" ht="15" hidden="false" customHeight="true" outlineLevel="0" collapsed="false">
      <c r="A15" s="37" t="n">
        <v>2</v>
      </c>
      <c r="B15" s="37" t="n">
        <f aca="false">'Mid &amp; Assgn - B'!B18</f>
        <v>0</v>
      </c>
      <c r="C15" s="37" t="n">
        <f aca="false">'Mid &amp; Assgn - B'!C18</f>
        <v>0</v>
      </c>
      <c r="D15" s="38" t="n">
        <f aca="false">IFERROR(SUM('Mid &amp; Assgn - B'!D18:I18),0)</f>
        <v>0</v>
      </c>
      <c r="E15" s="38" t="n">
        <f aca="false">IFERROR(SUM('Mid &amp; Assgn - B'!J18:M18),0)</f>
        <v>0</v>
      </c>
      <c r="F15" s="38" t="n">
        <f aca="false">D15+E15</f>
        <v>0</v>
      </c>
      <c r="G15" s="38" t="n">
        <f aca="false">IFERROR(ROUND(F15/30*15,2),0)</f>
        <v>0</v>
      </c>
      <c r="H15" s="38" t="n">
        <f aca="false">IFERROR(SUM('Mid &amp; Assgn - B'!N18:S18),0)</f>
        <v>0</v>
      </c>
      <c r="I15" s="38" t="n">
        <f aca="false">IFERROR(SUM('Mid &amp; Assgn - B'!T18:Y18),0)</f>
        <v>0</v>
      </c>
      <c r="J15" s="38" t="n">
        <f aca="false">H15+I15</f>
        <v>0</v>
      </c>
      <c r="K15" s="38" t="n">
        <f aca="false">IFERROR(ROUND(J15/30*15,2),0)</f>
        <v>0</v>
      </c>
      <c r="L15" s="38" t="n">
        <f aca="false">'Mid &amp; Assgn - B'!Z18</f>
        <v>0</v>
      </c>
      <c r="M15" s="38" t="n">
        <f aca="false">'Mid &amp; Assgn - B'!AA18</f>
        <v>0</v>
      </c>
      <c r="N15" s="38" t="n">
        <f aca="false">'Mid &amp; Assgn - B'!AB18</f>
        <v>0</v>
      </c>
      <c r="O15" s="38" t="n">
        <f aca="false">'Mid &amp; Assgn - B'!AC18</f>
        <v>0</v>
      </c>
      <c r="P15" s="38" t="n">
        <f aca="false">'Mid &amp; Assgn - B'!AD18</f>
        <v>0</v>
      </c>
      <c r="Q15" s="38" t="n">
        <f aca="false">'Mid &amp; Assgn - B'!AE18</f>
        <v>0</v>
      </c>
      <c r="R15" s="38" t="n">
        <f aca="false">IF(D15/30&gt;=0.7,3,IF(D15/30&gt;=0.5,2,IF(D15/30&gt;=0.35,1,0)))</f>
        <v>0</v>
      </c>
      <c r="S15" s="38" t="n">
        <f aca="false">IF(E15/30&gt;=0.7,3,IF(E15/30&gt;=0.5,2,IF(E15/30&gt;=0.35,1,0)))</f>
        <v>0</v>
      </c>
      <c r="T15" s="38" t="n">
        <f aca="false">IF(H15/30&gt;=0.7,3,IF(H15/30&gt;=0.5,2,IF(H15/30&gt;=0.35,1,0)))</f>
        <v>0</v>
      </c>
      <c r="U15" s="38" t="n">
        <f aca="false">IF(I15/30&gt;=0.7,3,IF(I15/30&gt;=0.5,2,IF(I15/30&gt;=0.35,1,0)))</f>
        <v>0</v>
      </c>
      <c r="V15" s="38"/>
      <c r="W15" s="38"/>
      <c r="X15" s="38"/>
      <c r="Y15" s="38"/>
      <c r="Z15" s="38" t="n">
        <f aca="false">G15+K15+L15+M15+N15+O15+P15</f>
        <v>0</v>
      </c>
      <c r="AA15" s="38" t="n">
        <f aca="false">IFERROR(AVERAGE(R15:U15),0)</f>
        <v>0</v>
      </c>
    </row>
    <row r="16" customFormat="false" ht="15" hidden="false" customHeight="true" outlineLevel="0" collapsed="false">
      <c r="A16" s="35" t="n">
        <v>3</v>
      </c>
      <c r="B16" s="35" t="n">
        <f aca="false">'Mid &amp; Assgn - B'!B19</f>
        <v>0</v>
      </c>
      <c r="C16" s="35" t="n">
        <f aca="false">'Mid &amp; Assgn - B'!C19</f>
        <v>0</v>
      </c>
      <c r="D16" s="36" t="n">
        <f aca="false">IFERROR(SUM('Mid &amp; Assgn - B'!D19:I19),0)</f>
        <v>0</v>
      </c>
      <c r="E16" s="36" t="n">
        <f aca="false">IFERROR(SUM('Mid &amp; Assgn - B'!J19:M19),0)</f>
        <v>0</v>
      </c>
      <c r="F16" s="36" t="n">
        <f aca="false">D16+E16</f>
        <v>0</v>
      </c>
      <c r="G16" s="36" t="n">
        <f aca="false">IFERROR(ROUND(F16/30*15,2),0)</f>
        <v>0</v>
      </c>
      <c r="H16" s="36" t="n">
        <f aca="false">IFERROR(SUM('Mid &amp; Assgn - B'!N19:S19),0)</f>
        <v>0</v>
      </c>
      <c r="I16" s="36" t="n">
        <f aca="false">IFERROR(SUM('Mid &amp; Assgn - B'!T19:Y19),0)</f>
        <v>0</v>
      </c>
      <c r="J16" s="36" t="n">
        <f aca="false">H16+I16</f>
        <v>0</v>
      </c>
      <c r="K16" s="36" t="n">
        <f aca="false">IFERROR(ROUND(J16/30*15,2),0)</f>
        <v>0</v>
      </c>
      <c r="L16" s="36" t="n">
        <f aca="false">'Mid &amp; Assgn - B'!Z19</f>
        <v>0</v>
      </c>
      <c r="M16" s="36" t="n">
        <f aca="false">'Mid &amp; Assgn - B'!AA19</f>
        <v>0</v>
      </c>
      <c r="N16" s="36" t="n">
        <f aca="false">'Mid &amp; Assgn - B'!AB19</f>
        <v>0</v>
      </c>
      <c r="O16" s="36" t="n">
        <f aca="false">'Mid &amp; Assgn - B'!AC19</f>
        <v>0</v>
      </c>
      <c r="P16" s="36" t="n">
        <f aca="false">'Mid &amp; Assgn - B'!AD19</f>
        <v>0</v>
      </c>
      <c r="Q16" s="36" t="n">
        <f aca="false">'Mid &amp; Assgn - B'!AE19</f>
        <v>0</v>
      </c>
      <c r="R16" s="36" t="n">
        <f aca="false">IF(D16/30&gt;=0.7,3,IF(D16/30&gt;=0.5,2,IF(D16/30&gt;=0.35,1,0)))</f>
        <v>0</v>
      </c>
      <c r="S16" s="36" t="n">
        <f aca="false">IF(E16/30&gt;=0.7,3,IF(E16/30&gt;=0.5,2,IF(E16/30&gt;=0.35,1,0)))</f>
        <v>0</v>
      </c>
      <c r="T16" s="36" t="n">
        <f aca="false">IF(H16/30&gt;=0.7,3,IF(H16/30&gt;=0.5,2,IF(H16/30&gt;=0.35,1,0)))</f>
        <v>0</v>
      </c>
      <c r="U16" s="36" t="n">
        <f aca="false">IF(I16/30&gt;=0.7,3,IF(I16/30&gt;=0.5,2,IF(I16/30&gt;=0.35,1,0)))</f>
        <v>0</v>
      </c>
      <c r="V16" s="36"/>
      <c r="W16" s="36"/>
      <c r="X16" s="36"/>
      <c r="Y16" s="36"/>
      <c r="Z16" s="36" t="n">
        <f aca="false">G16+K16+L16+M16+N16+O16+P16</f>
        <v>0</v>
      </c>
      <c r="AA16" s="36" t="n">
        <f aca="false">IFERROR(AVERAGE(R16:U16),0)</f>
        <v>0</v>
      </c>
    </row>
    <row r="17" customFormat="false" ht="15" hidden="false" customHeight="true" outlineLevel="0" collapsed="false">
      <c r="A17" s="37" t="n">
        <v>4</v>
      </c>
      <c r="B17" s="37" t="n">
        <f aca="false">'Mid &amp; Assgn - B'!B20</f>
        <v>0</v>
      </c>
      <c r="C17" s="37" t="n">
        <f aca="false">'Mid &amp; Assgn - B'!C20</f>
        <v>0</v>
      </c>
      <c r="D17" s="38" t="n">
        <f aca="false">IFERROR(SUM('Mid &amp; Assgn - B'!D20:I20),0)</f>
        <v>0</v>
      </c>
      <c r="E17" s="38" t="n">
        <f aca="false">IFERROR(SUM('Mid &amp; Assgn - B'!J20:M20),0)</f>
        <v>0</v>
      </c>
      <c r="F17" s="38" t="n">
        <f aca="false">D17+E17</f>
        <v>0</v>
      </c>
      <c r="G17" s="38" t="n">
        <f aca="false">IFERROR(ROUND(F17/30*15,2),0)</f>
        <v>0</v>
      </c>
      <c r="H17" s="38" t="n">
        <f aca="false">IFERROR(SUM('Mid &amp; Assgn - B'!N20:S20),0)</f>
        <v>0</v>
      </c>
      <c r="I17" s="38" t="n">
        <f aca="false">IFERROR(SUM('Mid &amp; Assgn - B'!T20:Y20),0)</f>
        <v>0</v>
      </c>
      <c r="J17" s="38" t="n">
        <f aca="false">H17+I17</f>
        <v>0</v>
      </c>
      <c r="K17" s="38" t="n">
        <f aca="false">IFERROR(ROUND(J17/30*15,2),0)</f>
        <v>0</v>
      </c>
      <c r="L17" s="38" t="n">
        <f aca="false">'Mid &amp; Assgn - B'!Z20</f>
        <v>0</v>
      </c>
      <c r="M17" s="38" t="n">
        <f aca="false">'Mid &amp; Assgn - B'!AA20</f>
        <v>0</v>
      </c>
      <c r="N17" s="38" t="n">
        <f aca="false">'Mid &amp; Assgn - B'!AB20</f>
        <v>0</v>
      </c>
      <c r="O17" s="38" t="n">
        <f aca="false">'Mid &amp; Assgn - B'!AC20</f>
        <v>0</v>
      </c>
      <c r="P17" s="38" t="n">
        <f aca="false">'Mid &amp; Assgn - B'!AD20</f>
        <v>0</v>
      </c>
      <c r="Q17" s="38" t="n">
        <f aca="false">'Mid &amp; Assgn - B'!AE20</f>
        <v>0</v>
      </c>
      <c r="R17" s="38" t="n">
        <f aca="false">IF(D17/30&gt;=0.7,3,IF(D17/30&gt;=0.5,2,IF(D17/30&gt;=0.35,1,0)))</f>
        <v>0</v>
      </c>
      <c r="S17" s="38" t="n">
        <f aca="false">IF(E17/30&gt;=0.7,3,IF(E17/30&gt;=0.5,2,IF(E17/30&gt;=0.35,1,0)))</f>
        <v>0</v>
      </c>
      <c r="T17" s="38" t="n">
        <f aca="false">IF(H17/30&gt;=0.7,3,IF(H17/30&gt;=0.5,2,IF(H17/30&gt;=0.35,1,0)))</f>
        <v>0</v>
      </c>
      <c r="U17" s="38" t="n">
        <f aca="false">IF(I17/30&gt;=0.7,3,IF(I17/30&gt;=0.5,2,IF(I17/30&gt;=0.35,1,0)))</f>
        <v>0</v>
      </c>
      <c r="V17" s="38"/>
      <c r="W17" s="38"/>
      <c r="X17" s="38"/>
      <c r="Y17" s="38"/>
      <c r="Z17" s="38" t="n">
        <f aca="false">G17+K17+L17+M17+N17+O17+P17</f>
        <v>0</v>
      </c>
      <c r="AA17" s="38" t="n">
        <f aca="false">IFERROR(AVERAGE(R17:U17),0)</f>
        <v>0</v>
      </c>
    </row>
    <row r="18" customFormat="false" ht="15" hidden="false" customHeight="true" outlineLevel="0" collapsed="false">
      <c r="A18" s="35" t="n">
        <v>5</v>
      </c>
      <c r="B18" s="35" t="n">
        <f aca="false">'Mid &amp; Assgn - B'!B21</f>
        <v>0</v>
      </c>
      <c r="C18" s="35" t="n">
        <f aca="false">'Mid &amp; Assgn - B'!C21</f>
        <v>0</v>
      </c>
      <c r="D18" s="36" t="n">
        <f aca="false">IFERROR(SUM('Mid &amp; Assgn - B'!D21:I21),0)</f>
        <v>0</v>
      </c>
      <c r="E18" s="36" t="n">
        <f aca="false">IFERROR(SUM('Mid &amp; Assgn - B'!J21:M21),0)</f>
        <v>0</v>
      </c>
      <c r="F18" s="36" t="n">
        <f aca="false">D18+E18</f>
        <v>0</v>
      </c>
      <c r="G18" s="36" t="n">
        <f aca="false">IFERROR(ROUND(F18/30*15,2),0)</f>
        <v>0</v>
      </c>
      <c r="H18" s="36" t="n">
        <f aca="false">IFERROR(SUM('Mid &amp; Assgn - B'!N21:S21),0)</f>
        <v>0</v>
      </c>
      <c r="I18" s="36" t="n">
        <f aca="false">IFERROR(SUM('Mid &amp; Assgn - B'!T21:Y21),0)</f>
        <v>0</v>
      </c>
      <c r="J18" s="36" t="n">
        <f aca="false">H18+I18</f>
        <v>0</v>
      </c>
      <c r="K18" s="36" t="n">
        <f aca="false">IFERROR(ROUND(J18/30*15,2),0)</f>
        <v>0</v>
      </c>
      <c r="L18" s="36" t="n">
        <f aca="false">'Mid &amp; Assgn - B'!Z21</f>
        <v>0</v>
      </c>
      <c r="M18" s="36" t="n">
        <f aca="false">'Mid &amp; Assgn - B'!AA21</f>
        <v>0</v>
      </c>
      <c r="N18" s="36" t="n">
        <f aca="false">'Mid &amp; Assgn - B'!AB21</f>
        <v>0</v>
      </c>
      <c r="O18" s="36" t="n">
        <f aca="false">'Mid &amp; Assgn - B'!AC21</f>
        <v>0</v>
      </c>
      <c r="P18" s="36" t="n">
        <f aca="false">'Mid &amp; Assgn - B'!AD21</f>
        <v>0</v>
      </c>
      <c r="Q18" s="36" t="n">
        <f aca="false">'Mid &amp; Assgn - B'!AE21</f>
        <v>0</v>
      </c>
      <c r="R18" s="36" t="n">
        <f aca="false">IF(D18/30&gt;=0.7,3,IF(D18/30&gt;=0.5,2,IF(D18/30&gt;=0.35,1,0)))</f>
        <v>0</v>
      </c>
      <c r="S18" s="36" t="n">
        <f aca="false">IF(E18/30&gt;=0.7,3,IF(E18/30&gt;=0.5,2,IF(E18/30&gt;=0.35,1,0)))</f>
        <v>0</v>
      </c>
      <c r="T18" s="36" t="n">
        <f aca="false">IF(H18/30&gt;=0.7,3,IF(H18/30&gt;=0.5,2,IF(H18/30&gt;=0.35,1,0)))</f>
        <v>0</v>
      </c>
      <c r="U18" s="36" t="n">
        <f aca="false">IF(I18/30&gt;=0.7,3,IF(I18/30&gt;=0.5,2,IF(I18/30&gt;=0.35,1,0)))</f>
        <v>0</v>
      </c>
      <c r="V18" s="36"/>
      <c r="W18" s="36"/>
      <c r="X18" s="36"/>
      <c r="Y18" s="36"/>
      <c r="Z18" s="36" t="n">
        <f aca="false">G18+K18+L18+M18+N18+O18+P18</f>
        <v>0</v>
      </c>
      <c r="AA18" s="36" t="n">
        <f aca="false">IFERROR(AVERAGE(R18:U18),0)</f>
        <v>0</v>
      </c>
    </row>
    <row r="19" customFormat="false" ht="15" hidden="false" customHeight="true" outlineLevel="0" collapsed="false">
      <c r="A19" s="37" t="n">
        <v>6</v>
      </c>
      <c r="B19" s="37" t="n">
        <f aca="false">'Mid &amp; Assgn - B'!B22</f>
        <v>0</v>
      </c>
      <c r="C19" s="37" t="n">
        <f aca="false">'Mid &amp; Assgn - B'!C22</f>
        <v>0</v>
      </c>
      <c r="D19" s="38" t="n">
        <f aca="false">IFERROR(SUM('Mid &amp; Assgn - B'!D22:I22),0)</f>
        <v>0</v>
      </c>
      <c r="E19" s="38" t="n">
        <f aca="false">IFERROR(SUM('Mid &amp; Assgn - B'!J22:M22),0)</f>
        <v>0</v>
      </c>
      <c r="F19" s="38" t="n">
        <f aca="false">D19+E19</f>
        <v>0</v>
      </c>
      <c r="G19" s="38" t="n">
        <f aca="false">IFERROR(ROUND(F19/30*15,2),0)</f>
        <v>0</v>
      </c>
      <c r="H19" s="38" t="n">
        <f aca="false">IFERROR(SUM('Mid &amp; Assgn - B'!N22:S22),0)</f>
        <v>0</v>
      </c>
      <c r="I19" s="38" t="n">
        <f aca="false">IFERROR(SUM('Mid &amp; Assgn - B'!T22:Y22),0)</f>
        <v>0</v>
      </c>
      <c r="J19" s="38" t="n">
        <f aca="false">H19+I19</f>
        <v>0</v>
      </c>
      <c r="K19" s="38" t="n">
        <f aca="false">IFERROR(ROUND(J19/30*15,2),0)</f>
        <v>0</v>
      </c>
      <c r="L19" s="38" t="n">
        <f aca="false">'Mid &amp; Assgn - B'!Z22</f>
        <v>0</v>
      </c>
      <c r="M19" s="38" t="n">
        <f aca="false">'Mid &amp; Assgn - B'!AA22</f>
        <v>0</v>
      </c>
      <c r="N19" s="38" t="n">
        <f aca="false">'Mid &amp; Assgn - B'!AB22</f>
        <v>0</v>
      </c>
      <c r="O19" s="38" t="n">
        <f aca="false">'Mid &amp; Assgn - B'!AC22</f>
        <v>0</v>
      </c>
      <c r="P19" s="38" t="n">
        <f aca="false">'Mid &amp; Assgn - B'!AD22</f>
        <v>0</v>
      </c>
      <c r="Q19" s="38" t="n">
        <f aca="false">'Mid &amp; Assgn - B'!AE22</f>
        <v>0</v>
      </c>
      <c r="R19" s="38" t="n">
        <f aca="false">IF(D19/30&gt;=0.7,3,IF(D19/30&gt;=0.5,2,IF(D19/30&gt;=0.35,1,0)))</f>
        <v>0</v>
      </c>
      <c r="S19" s="38" t="n">
        <f aca="false">IF(E19/30&gt;=0.7,3,IF(E19/30&gt;=0.5,2,IF(E19/30&gt;=0.35,1,0)))</f>
        <v>0</v>
      </c>
      <c r="T19" s="38" t="n">
        <f aca="false">IF(H19/30&gt;=0.7,3,IF(H19/30&gt;=0.5,2,IF(H19/30&gt;=0.35,1,0)))</f>
        <v>0</v>
      </c>
      <c r="U19" s="38" t="n">
        <f aca="false">IF(I19/30&gt;=0.7,3,IF(I19/30&gt;=0.5,2,IF(I19/30&gt;=0.35,1,0)))</f>
        <v>0</v>
      </c>
      <c r="V19" s="38"/>
      <c r="W19" s="38"/>
      <c r="X19" s="38"/>
      <c r="Y19" s="38"/>
      <c r="Z19" s="38" t="n">
        <f aca="false">G19+K19+L19+M19+N19+O19+P19</f>
        <v>0</v>
      </c>
      <c r="AA19" s="38" t="n">
        <f aca="false">IFERROR(AVERAGE(R19:U19),0)</f>
        <v>0</v>
      </c>
    </row>
    <row r="20" customFormat="false" ht="15" hidden="false" customHeight="true" outlineLevel="0" collapsed="false">
      <c r="A20" s="35" t="n">
        <v>7</v>
      </c>
      <c r="B20" s="35" t="n">
        <f aca="false">'Mid &amp; Assgn - B'!B23</f>
        <v>0</v>
      </c>
      <c r="C20" s="35" t="n">
        <f aca="false">'Mid &amp; Assgn - B'!C23</f>
        <v>0</v>
      </c>
      <c r="D20" s="36" t="n">
        <f aca="false">IFERROR(SUM('Mid &amp; Assgn - B'!D23:I23),0)</f>
        <v>0</v>
      </c>
      <c r="E20" s="36" t="n">
        <f aca="false">IFERROR(SUM('Mid &amp; Assgn - B'!J23:M23),0)</f>
        <v>0</v>
      </c>
      <c r="F20" s="36" t="n">
        <f aca="false">D20+E20</f>
        <v>0</v>
      </c>
      <c r="G20" s="36" t="n">
        <f aca="false">IFERROR(ROUND(F20/30*15,2),0)</f>
        <v>0</v>
      </c>
      <c r="H20" s="36" t="n">
        <f aca="false">IFERROR(SUM('Mid &amp; Assgn - B'!N23:S23),0)</f>
        <v>0</v>
      </c>
      <c r="I20" s="36" t="n">
        <f aca="false">IFERROR(SUM('Mid &amp; Assgn - B'!T23:Y23),0)</f>
        <v>0</v>
      </c>
      <c r="J20" s="36" t="n">
        <f aca="false">H20+I20</f>
        <v>0</v>
      </c>
      <c r="K20" s="36" t="n">
        <f aca="false">IFERROR(ROUND(J20/30*15,2),0)</f>
        <v>0</v>
      </c>
      <c r="L20" s="36" t="n">
        <f aca="false">'Mid &amp; Assgn - B'!Z23</f>
        <v>0</v>
      </c>
      <c r="M20" s="36" t="n">
        <f aca="false">'Mid &amp; Assgn - B'!AA23</f>
        <v>0</v>
      </c>
      <c r="N20" s="36" t="n">
        <f aca="false">'Mid &amp; Assgn - B'!AB23</f>
        <v>0</v>
      </c>
      <c r="O20" s="36" t="n">
        <f aca="false">'Mid &amp; Assgn - B'!AC23</f>
        <v>0</v>
      </c>
      <c r="P20" s="36" t="n">
        <f aca="false">'Mid &amp; Assgn - B'!AD23</f>
        <v>0</v>
      </c>
      <c r="Q20" s="36" t="n">
        <f aca="false">'Mid &amp; Assgn - B'!AE23</f>
        <v>0</v>
      </c>
      <c r="R20" s="36" t="n">
        <f aca="false">IF(D20/30&gt;=0.7,3,IF(D20/30&gt;=0.5,2,IF(D20/30&gt;=0.35,1,0)))</f>
        <v>0</v>
      </c>
      <c r="S20" s="36" t="n">
        <f aca="false">IF(E20/30&gt;=0.7,3,IF(E20/30&gt;=0.5,2,IF(E20/30&gt;=0.35,1,0)))</f>
        <v>0</v>
      </c>
      <c r="T20" s="36" t="n">
        <f aca="false">IF(H20/30&gt;=0.7,3,IF(H20/30&gt;=0.5,2,IF(H20/30&gt;=0.35,1,0)))</f>
        <v>0</v>
      </c>
      <c r="U20" s="36" t="n">
        <f aca="false">IF(I20/30&gt;=0.7,3,IF(I20/30&gt;=0.5,2,IF(I20/30&gt;=0.35,1,0)))</f>
        <v>0</v>
      </c>
      <c r="V20" s="36"/>
      <c r="W20" s="36"/>
      <c r="X20" s="36"/>
      <c r="Y20" s="36"/>
      <c r="Z20" s="36" t="n">
        <f aca="false">G20+K20+L20+M20+N20+O20+P20</f>
        <v>0</v>
      </c>
      <c r="AA20" s="36" t="n">
        <f aca="false">IFERROR(AVERAGE(R20:U20),0)</f>
        <v>0</v>
      </c>
    </row>
    <row r="21" customFormat="false" ht="15" hidden="false" customHeight="true" outlineLevel="0" collapsed="false">
      <c r="A21" s="37" t="n">
        <v>8</v>
      </c>
      <c r="B21" s="37" t="n">
        <f aca="false">'Mid &amp; Assgn - B'!B24</f>
        <v>0</v>
      </c>
      <c r="C21" s="37" t="n">
        <f aca="false">'Mid &amp; Assgn - B'!C24</f>
        <v>0</v>
      </c>
      <c r="D21" s="38" t="n">
        <f aca="false">IFERROR(SUM('Mid &amp; Assgn - B'!D24:I24),0)</f>
        <v>0</v>
      </c>
      <c r="E21" s="38" t="n">
        <f aca="false">IFERROR(SUM('Mid &amp; Assgn - B'!J24:M24),0)</f>
        <v>0</v>
      </c>
      <c r="F21" s="38" t="n">
        <f aca="false">D21+E21</f>
        <v>0</v>
      </c>
      <c r="G21" s="38" t="n">
        <f aca="false">IFERROR(ROUND(F21/30*15,2),0)</f>
        <v>0</v>
      </c>
      <c r="H21" s="38" t="n">
        <f aca="false">IFERROR(SUM('Mid &amp; Assgn - B'!N24:S24),0)</f>
        <v>0</v>
      </c>
      <c r="I21" s="38" t="n">
        <f aca="false">IFERROR(SUM('Mid &amp; Assgn - B'!T24:Y24),0)</f>
        <v>0</v>
      </c>
      <c r="J21" s="38" t="n">
        <f aca="false">H21+I21</f>
        <v>0</v>
      </c>
      <c r="K21" s="38" t="n">
        <f aca="false">IFERROR(ROUND(J21/30*15,2),0)</f>
        <v>0</v>
      </c>
      <c r="L21" s="38" t="n">
        <f aca="false">'Mid &amp; Assgn - B'!Z24</f>
        <v>0</v>
      </c>
      <c r="M21" s="38" t="n">
        <f aca="false">'Mid &amp; Assgn - B'!AA24</f>
        <v>0</v>
      </c>
      <c r="N21" s="38" t="n">
        <f aca="false">'Mid &amp; Assgn - B'!AB24</f>
        <v>0</v>
      </c>
      <c r="O21" s="38" t="n">
        <f aca="false">'Mid &amp; Assgn - B'!AC24</f>
        <v>0</v>
      </c>
      <c r="P21" s="38" t="n">
        <f aca="false">'Mid &amp; Assgn - B'!AD24</f>
        <v>0</v>
      </c>
      <c r="Q21" s="38" t="n">
        <f aca="false">'Mid &amp; Assgn - B'!AE24</f>
        <v>0</v>
      </c>
      <c r="R21" s="38" t="n">
        <f aca="false">IF(D21/30&gt;=0.7,3,IF(D21/30&gt;=0.5,2,IF(D21/30&gt;=0.35,1,0)))</f>
        <v>0</v>
      </c>
      <c r="S21" s="38" t="n">
        <f aca="false">IF(E21/30&gt;=0.7,3,IF(E21/30&gt;=0.5,2,IF(E21/30&gt;=0.35,1,0)))</f>
        <v>0</v>
      </c>
      <c r="T21" s="38" t="n">
        <f aca="false">IF(H21/30&gt;=0.7,3,IF(H21/30&gt;=0.5,2,IF(H21/30&gt;=0.35,1,0)))</f>
        <v>0</v>
      </c>
      <c r="U21" s="38" t="n">
        <f aca="false">IF(I21/30&gt;=0.7,3,IF(I21/30&gt;=0.5,2,IF(I21/30&gt;=0.35,1,0)))</f>
        <v>0</v>
      </c>
      <c r="V21" s="38"/>
      <c r="W21" s="38"/>
      <c r="X21" s="38"/>
      <c r="Y21" s="38"/>
      <c r="Z21" s="38" t="n">
        <f aca="false">G21+K21+L21+M21+N21+O21+P21</f>
        <v>0</v>
      </c>
      <c r="AA21" s="38" t="n">
        <f aca="false">IFERROR(AVERAGE(R21:U21),0)</f>
        <v>0</v>
      </c>
    </row>
    <row r="22" customFormat="false" ht="15" hidden="false" customHeight="true" outlineLevel="0" collapsed="false">
      <c r="A22" s="35" t="n">
        <v>9</v>
      </c>
      <c r="B22" s="35" t="n">
        <f aca="false">'Mid &amp; Assgn - B'!B25</f>
        <v>0</v>
      </c>
      <c r="C22" s="35" t="n">
        <f aca="false">'Mid &amp; Assgn - B'!C25</f>
        <v>0</v>
      </c>
      <c r="D22" s="36" t="n">
        <f aca="false">IFERROR(SUM('Mid &amp; Assgn - B'!D25:I25),0)</f>
        <v>0</v>
      </c>
      <c r="E22" s="36" t="n">
        <f aca="false">IFERROR(SUM('Mid &amp; Assgn - B'!J25:M25),0)</f>
        <v>0</v>
      </c>
      <c r="F22" s="36" t="n">
        <f aca="false">D22+E22</f>
        <v>0</v>
      </c>
      <c r="G22" s="36" t="n">
        <f aca="false">IFERROR(ROUND(F22/30*15,2),0)</f>
        <v>0</v>
      </c>
      <c r="H22" s="36" t="n">
        <f aca="false">IFERROR(SUM('Mid &amp; Assgn - B'!N25:S25),0)</f>
        <v>0</v>
      </c>
      <c r="I22" s="36" t="n">
        <f aca="false">IFERROR(SUM('Mid &amp; Assgn - B'!T25:Y25),0)</f>
        <v>0</v>
      </c>
      <c r="J22" s="36" t="n">
        <f aca="false">H22+I22</f>
        <v>0</v>
      </c>
      <c r="K22" s="36" t="n">
        <f aca="false">IFERROR(ROUND(J22/30*15,2),0)</f>
        <v>0</v>
      </c>
      <c r="L22" s="36" t="n">
        <f aca="false">'Mid &amp; Assgn - B'!Z25</f>
        <v>0</v>
      </c>
      <c r="M22" s="36" t="n">
        <f aca="false">'Mid &amp; Assgn - B'!AA25</f>
        <v>0</v>
      </c>
      <c r="N22" s="36" t="n">
        <f aca="false">'Mid &amp; Assgn - B'!AB25</f>
        <v>0</v>
      </c>
      <c r="O22" s="36" t="n">
        <f aca="false">'Mid &amp; Assgn - B'!AC25</f>
        <v>0</v>
      </c>
      <c r="P22" s="36" t="n">
        <f aca="false">'Mid &amp; Assgn - B'!AD25</f>
        <v>0</v>
      </c>
      <c r="Q22" s="36" t="n">
        <f aca="false">'Mid &amp; Assgn - B'!AE25</f>
        <v>0</v>
      </c>
      <c r="R22" s="36" t="n">
        <f aca="false">IF(D22/30&gt;=0.7,3,IF(D22/30&gt;=0.5,2,IF(D22/30&gt;=0.35,1,0)))</f>
        <v>0</v>
      </c>
      <c r="S22" s="36" t="n">
        <f aca="false">IF(E22/30&gt;=0.7,3,IF(E22/30&gt;=0.5,2,IF(E22/30&gt;=0.35,1,0)))</f>
        <v>0</v>
      </c>
      <c r="T22" s="36" t="n">
        <f aca="false">IF(H22/30&gt;=0.7,3,IF(H22/30&gt;=0.5,2,IF(H22/30&gt;=0.35,1,0)))</f>
        <v>0</v>
      </c>
      <c r="U22" s="36" t="n">
        <f aca="false">IF(I22/30&gt;=0.7,3,IF(I22/30&gt;=0.5,2,IF(I22/30&gt;=0.35,1,0)))</f>
        <v>0</v>
      </c>
      <c r="V22" s="36"/>
      <c r="W22" s="36"/>
      <c r="X22" s="36"/>
      <c r="Y22" s="36"/>
      <c r="Z22" s="36" t="n">
        <f aca="false">G22+K22+L22+M22+N22+O22+P22</f>
        <v>0</v>
      </c>
      <c r="AA22" s="36" t="n">
        <f aca="false">IFERROR(AVERAGE(R22:U22),0)</f>
        <v>0</v>
      </c>
    </row>
    <row r="23" customFormat="false" ht="15" hidden="false" customHeight="true" outlineLevel="0" collapsed="false">
      <c r="A23" s="37" t="n">
        <v>10</v>
      </c>
      <c r="B23" s="37" t="n">
        <f aca="false">'Mid &amp; Assgn - B'!B26</f>
        <v>0</v>
      </c>
      <c r="C23" s="37" t="n">
        <f aca="false">'Mid &amp; Assgn - B'!C26</f>
        <v>0</v>
      </c>
      <c r="D23" s="38" t="n">
        <f aca="false">IFERROR(SUM('Mid &amp; Assgn - B'!D26:I26),0)</f>
        <v>0</v>
      </c>
      <c r="E23" s="38" t="n">
        <f aca="false">IFERROR(SUM('Mid &amp; Assgn - B'!J26:M26),0)</f>
        <v>0</v>
      </c>
      <c r="F23" s="38" t="n">
        <f aca="false">D23+E23</f>
        <v>0</v>
      </c>
      <c r="G23" s="38" t="n">
        <f aca="false">IFERROR(ROUND(F23/30*15,2),0)</f>
        <v>0</v>
      </c>
      <c r="H23" s="38" t="n">
        <f aca="false">IFERROR(SUM('Mid &amp; Assgn - B'!N26:S26),0)</f>
        <v>0</v>
      </c>
      <c r="I23" s="38" t="n">
        <f aca="false">IFERROR(SUM('Mid &amp; Assgn - B'!T26:Y26),0)</f>
        <v>0</v>
      </c>
      <c r="J23" s="38" t="n">
        <f aca="false">H23+I23</f>
        <v>0</v>
      </c>
      <c r="K23" s="38" t="n">
        <f aca="false">IFERROR(ROUND(J23/30*15,2),0)</f>
        <v>0</v>
      </c>
      <c r="L23" s="38" t="n">
        <f aca="false">'Mid &amp; Assgn - B'!Z26</f>
        <v>0</v>
      </c>
      <c r="M23" s="38" t="n">
        <f aca="false">'Mid &amp; Assgn - B'!AA26</f>
        <v>0</v>
      </c>
      <c r="N23" s="38" t="n">
        <f aca="false">'Mid &amp; Assgn - B'!AB26</f>
        <v>0</v>
      </c>
      <c r="O23" s="38" t="n">
        <f aca="false">'Mid &amp; Assgn - B'!AC26</f>
        <v>0</v>
      </c>
      <c r="P23" s="38" t="n">
        <f aca="false">'Mid &amp; Assgn - B'!AD26</f>
        <v>0</v>
      </c>
      <c r="Q23" s="38" t="n">
        <f aca="false">'Mid &amp; Assgn - B'!AE26</f>
        <v>0</v>
      </c>
      <c r="R23" s="38" t="n">
        <f aca="false">IF(D23/30&gt;=0.7,3,IF(D23/30&gt;=0.5,2,IF(D23/30&gt;=0.35,1,0)))</f>
        <v>0</v>
      </c>
      <c r="S23" s="38" t="n">
        <f aca="false">IF(E23/30&gt;=0.7,3,IF(E23/30&gt;=0.5,2,IF(E23/30&gt;=0.35,1,0)))</f>
        <v>0</v>
      </c>
      <c r="T23" s="38" t="n">
        <f aca="false">IF(H23/30&gt;=0.7,3,IF(H23/30&gt;=0.5,2,IF(H23/30&gt;=0.35,1,0)))</f>
        <v>0</v>
      </c>
      <c r="U23" s="38" t="n">
        <f aca="false">IF(I23/30&gt;=0.7,3,IF(I23/30&gt;=0.5,2,IF(I23/30&gt;=0.35,1,0)))</f>
        <v>0</v>
      </c>
      <c r="V23" s="38"/>
      <c r="W23" s="38"/>
      <c r="X23" s="38"/>
      <c r="Y23" s="38"/>
      <c r="Z23" s="38" t="n">
        <f aca="false">G23+K23+L23+M23+N23+O23+P23</f>
        <v>0</v>
      </c>
      <c r="AA23" s="38" t="n">
        <f aca="false">IFERROR(AVERAGE(R23:U23),0)</f>
        <v>0</v>
      </c>
    </row>
    <row r="24" customFormat="false" ht="15" hidden="false" customHeight="true" outlineLevel="0" collapsed="false">
      <c r="A24" s="35" t="n">
        <v>11</v>
      </c>
      <c r="B24" s="35" t="n">
        <f aca="false">'Mid &amp; Assgn - B'!B27</f>
        <v>0</v>
      </c>
      <c r="C24" s="35" t="n">
        <f aca="false">'Mid &amp; Assgn - B'!C27</f>
        <v>0</v>
      </c>
      <c r="D24" s="36" t="n">
        <f aca="false">IFERROR(SUM('Mid &amp; Assgn - B'!D27:I27),0)</f>
        <v>0</v>
      </c>
      <c r="E24" s="36" t="n">
        <f aca="false">IFERROR(SUM('Mid &amp; Assgn - B'!J27:M27),0)</f>
        <v>0</v>
      </c>
      <c r="F24" s="36" t="n">
        <f aca="false">D24+E24</f>
        <v>0</v>
      </c>
      <c r="G24" s="36" t="n">
        <f aca="false">IFERROR(ROUND(F24/30*15,2),0)</f>
        <v>0</v>
      </c>
      <c r="H24" s="36" t="n">
        <f aca="false">IFERROR(SUM('Mid &amp; Assgn - B'!N27:S27),0)</f>
        <v>0</v>
      </c>
      <c r="I24" s="36" t="n">
        <f aca="false">IFERROR(SUM('Mid &amp; Assgn - B'!T27:Y27),0)</f>
        <v>0</v>
      </c>
      <c r="J24" s="36" t="n">
        <f aca="false">H24+I24</f>
        <v>0</v>
      </c>
      <c r="K24" s="36" t="n">
        <f aca="false">IFERROR(ROUND(J24/30*15,2),0)</f>
        <v>0</v>
      </c>
      <c r="L24" s="36" t="n">
        <f aca="false">'Mid &amp; Assgn - B'!Z27</f>
        <v>0</v>
      </c>
      <c r="M24" s="36" t="n">
        <f aca="false">'Mid &amp; Assgn - B'!AA27</f>
        <v>0</v>
      </c>
      <c r="N24" s="36" t="n">
        <f aca="false">'Mid &amp; Assgn - B'!AB27</f>
        <v>0</v>
      </c>
      <c r="O24" s="36" t="n">
        <f aca="false">'Mid &amp; Assgn - B'!AC27</f>
        <v>0</v>
      </c>
      <c r="P24" s="36" t="n">
        <f aca="false">'Mid &amp; Assgn - B'!AD27</f>
        <v>0</v>
      </c>
      <c r="Q24" s="36" t="n">
        <f aca="false">'Mid &amp; Assgn - B'!AE27</f>
        <v>0</v>
      </c>
      <c r="R24" s="36" t="n">
        <f aca="false">IF(D24/30&gt;=0.7,3,IF(D24/30&gt;=0.5,2,IF(D24/30&gt;=0.35,1,0)))</f>
        <v>0</v>
      </c>
      <c r="S24" s="36" t="n">
        <f aca="false">IF(E24/30&gt;=0.7,3,IF(E24/30&gt;=0.5,2,IF(E24/30&gt;=0.35,1,0)))</f>
        <v>0</v>
      </c>
      <c r="T24" s="36" t="n">
        <f aca="false">IF(H24/30&gt;=0.7,3,IF(H24/30&gt;=0.5,2,IF(H24/30&gt;=0.35,1,0)))</f>
        <v>0</v>
      </c>
      <c r="U24" s="36" t="n">
        <f aca="false">IF(I24/30&gt;=0.7,3,IF(I24/30&gt;=0.5,2,IF(I24/30&gt;=0.35,1,0)))</f>
        <v>0</v>
      </c>
      <c r="V24" s="36"/>
      <c r="W24" s="36"/>
      <c r="X24" s="36"/>
      <c r="Y24" s="36"/>
      <c r="Z24" s="36" t="n">
        <f aca="false">G24+K24+L24+M24+N24+O24+P24</f>
        <v>0</v>
      </c>
      <c r="AA24" s="36" t="n">
        <f aca="false">IFERROR(AVERAGE(R24:U24),0)</f>
        <v>0</v>
      </c>
    </row>
    <row r="25" customFormat="false" ht="15" hidden="false" customHeight="true" outlineLevel="0" collapsed="false">
      <c r="A25" s="37" t="n">
        <v>12</v>
      </c>
      <c r="B25" s="37" t="n">
        <f aca="false">'Mid &amp; Assgn - B'!B28</f>
        <v>0</v>
      </c>
      <c r="C25" s="37" t="n">
        <f aca="false">'Mid &amp; Assgn - B'!C28</f>
        <v>0</v>
      </c>
      <c r="D25" s="38" t="n">
        <f aca="false">IFERROR(SUM('Mid &amp; Assgn - B'!D28:I28),0)</f>
        <v>0</v>
      </c>
      <c r="E25" s="38" t="n">
        <f aca="false">IFERROR(SUM('Mid &amp; Assgn - B'!J28:M28),0)</f>
        <v>0</v>
      </c>
      <c r="F25" s="38" t="n">
        <f aca="false">D25+E25</f>
        <v>0</v>
      </c>
      <c r="G25" s="38" t="n">
        <f aca="false">IFERROR(ROUND(F25/30*15,2),0)</f>
        <v>0</v>
      </c>
      <c r="H25" s="38" t="n">
        <f aca="false">IFERROR(SUM('Mid &amp; Assgn - B'!N28:S28),0)</f>
        <v>0</v>
      </c>
      <c r="I25" s="38" t="n">
        <f aca="false">IFERROR(SUM('Mid &amp; Assgn - B'!T28:Y28),0)</f>
        <v>0</v>
      </c>
      <c r="J25" s="38" t="n">
        <f aca="false">H25+I25</f>
        <v>0</v>
      </c>
      <c r="K25" s="38" t="n">
        <f aca="false">IFERROR(ROUND(J25/30*15,2),0)</f>
        <v>0</v>
      </c>
      <c r="L25" s="38" t="n">
        <f aca="false">'Mid &amp; Assgn - B'!Z28</f>
        <v>0</v>
      </c>
      <c r="M25" s="38" t="n">
        <f aca="false">'Mid &amp; Assgn - B'!AA28</f>
        <v>0</v>
      </c>
      <c r="N25" s="38" t="n">
        <f aca="false">'Mid &amp; Assgn - B'!AB28</f>
        <v>0</v>
      </c>
      <c r="O25" s="38" t="n">
        <f aca="false">'Mid &amp; Assgn - B'!AC28</f>
        <v>0</v>
      </c>
      <c r="P25" s="38" t="n">
        <f aca="false">'Mid &amp; Assgn - B'!AD28</f>
        <v>0</v>
      </c>
      <c r="Q25" s="38" t="n">
        <f aca="false">'Mid &amp; Assgn - B'!AE28</f>
        <v>0</v>
      </c>
      <c r="R25" s="38" t="n">
        <f aca="false">IF(D25/30&gt;=0.7,3,IF(D25/30&gt;=0.5,2,IF(D25/30&gt;=0.35,1,0)))</f>
        <v>0</v>
      </c>
      <c r="S25" s="38" t="n">
        <f aca="false">IF(E25/30&gt;=0.7,3,IF(E25/30&gt;=0.5,2,IF(E25/30&gt;=0.35,1,0)))</f>
        <v>0</v>
      </c>
      <c r="T25" s="38" t="n">
        <f aca="false">IF(H25/30&gt;=0.7,3,IF(H25/30&gt;=0.5,2,IF(H25/30&gt;=0.35,1,0)))</f>
        <v>0</v>
      </c>
      <c r="U25" s="38" t="n">
        <f aca="false">IF(I25/30&gt;=0.7,3,IF(I25/30&gt;=0.5,2,IF(I25/30&gt;=0.35,1,0)))</f>
        <v>0</v>
      </c>
      <c r="V25" s="38"/>
      <c r="W25" s="38"/>
      <c r="X25" s="38"/>
      <c r="Y25" s="38"/>
      <c r="Z25" s="38" t="n">
        <f aca="false">G25+K25+L25+M25+N25+O25+P25</f>
        <v>0</v>
      </c>
      <c r="AA25" s="38" t="n">
        <f aca="false">IFERROR(AVERAGE(R25:U25),0)</f>
        <v>0</v>
      </c>
    </row>
    <row r="26" customFormat="false" ht="15" hidden="false" customHeight="true" outlineLevel="0" collapsed="false">
      <c r="A26" s="35" t="n">
        <v>13</v>
      </c>
      <c r="B26" s="35" t="n">
        <f aca="false">'Mid &amp; Assgn - B'!B29</f>
        <v>0</v>
      </c>
      <c r="C26" s="35" t="n">
        <f aca="false">'Mid &amp; Assgn - B'!C29</f>
        <v>0</v>
      </c>
      <c r="D26" s="36" t="n">
        <f aca="false">IFERROR(SUM('Mid &amp; Assgn - B'!D29:I29),0)</f>
        <v>0</v>
      </c>
      <c r="E26" s="36" t="n">
        <f aca="false">IFERROR(SUM('Mid &amp; Assgn - B'!J29:M29),0)</f>
        <v>0</v>
      </c>
      <c r="F26" s="36" t="n">
        <f aca="false">D26+E26</f>
        <v>0</v>
      </c>
      <c r="G26" s="36" t="n">
        <f aca="false">IFERROR(ROUND(F26/30*15,2),0)</f>
        <v>0</v>
      </c>
      <c r="H26" s="36" t="n">
        <f aca="false">IFERROR(SUM('Mid &amp; Assgn - B'!N29:S29),0)</f>
        <v>0</v>
      </c>
      <c r="I26" s="36" t="n">
        <f aca="false">IFERROR(SUM('Mid &amp; Assgn - B'!T29:Y29),0)</f>
        <v>0</v>
      </c>
      <c r="J26" s="36" t="n">
        <f aca="false">H26+I26</f>
        <v>0</v>
      </c>
      <c r="K26" s="36" t="n">
        <f aca="false">IFERROR(ROUND(J26/30*15,2),0)</f>
        <v>0</v>
      </c>
      <c r="L26" s="36" t="n">
        <f aca="false">'Mid &amp; Assgn - B'!Z29</f>
        <v>0</v>
      </c>
      <c r="M26" s="36" t="n">
        <f aca="false">'Mid &amp; Assgn - B'!AA29</f>
        <v>0</v>
      </c>
      <c r="N26" s="36" t="n">
        <f aca="false">'Mid &amp; Assgn - B'!AB29</f>
        <v>0</v>
      </c>
      <c r="O26" s="36" t="n">
        <f aca="false">'Mid &amp; Assgn - B'!AC29</f>
        <v>0</v>
      </c>
      <c r="P26" s="36" t="n">
        <f aca="false">'Mid &amp; Assgn - B'!AD29</f>
        <v>0</v>
      </c>
      <c r="Q26" s="36" t="n">
        <f aca="false">'Mid &amp; Assgn - B'!AE29</f>
        <v>0</v>
      </c>
      <c r="R26" s="36" t="n">
        <f aca="false">IF(D26/30&gt;=0.7,3,IF(D26/30&gt;=0.5,2,IF(D26/30&gt;=0.35,1,0)))</f>
        <v>0</v>
      </c>
      <c r="S26" s="36" t="n">
        <f aca="false">IF(E26/30&gt;=0.7,3,IF(E26/30&gt;=0.5,2,IF(E26/30&gt;=0.35,1,0)))</f>
        <v>0</v>
      </c>
      <c r="T26" s="36" t="n">
        <f aca="false">IF(H26/30&gt;=0.7,3,IF(H26/30&gt;=0.5,2,IF(H26/30&gt;=0.35,1,0)))</f>
        <v>0</v>
      </c>
      <c r="U26" s="36" t="n">
        <f aca="false">IF(I26/30&gt;=0.7,3,IF(I26/30&gt;=0.5,2,IF(I26/30&gt;=0.35,1,0)))</f>
        <v>0</v>
      </c>
      <c r="V26" s="36"/>
      <c r="W26" s="36"/>
      <c r="X26" s="36"/>
      <c r="Y26" s="36"/>
      <c r="Z26" s="36" t="n">
        <f aca="false">G26+K26+L26+M26+N26+O26+P26</f>
        <v>0</v>
      </c>
      <c r="AA26" s="36" t="n">
        <f aca="false">IFERROR(AVERAGE(R26:U26),0)</f>
        <v>0</v>
      </c>
    </row>
    <row r="27" customFormat="false" ht="15" hidden="false" customHeight="true" outlineLevel="0" collapsed="false">
      <c r="A27" s="37" t="n">
        <v>14</v>
      </c>
      <c r="B27" s="37" t="n">
        <f aca="false">'Mid &amp; Assgn - B'!B30</f>
        <v>0</v>
      </c>
      <c r="C27" s="37" t="n">
        <f aca="false">'Mid &amp; Assgn - B'!C30</f>
        <v>0</v>
      </c>
      <c r="D27" s="38" t="n">
        <f aca="false">IFERROR(SUM('Mid &amp; Assgn - B'!D30:I30),0)</f>
        <v>0</v>
      </c>
      <c r="E27" s="38" t="n">
        <f aca="false">IFERROR(SUM('Mid &amp; Assgn - B'!J30:M30),0)</f>
        <v>0</v>
      </c>
      <c r="F27" s="38" t="n">
        <f aca="false">D27+E27</f>
        <v>0</v>
      </c>
      <c r="G27" s="38" t="n">
        <f aca="false">IFERROR(ROUND(F27/30*15,2),0)</f>
        <v>0</v>
      </c>
      <c r="H27" s="38" t="n">
        <f aca="false">IFERROR(SUM('Mid &amp; Assgn - B'!N30:S30),0)</f>
        <v>0</v>
      </c>
      <c r="I27" s="38" t="n">
        <f aca="false">IFERROR(SUM('Mid &amp; Assgn - B'!T30:Y30),0)</f>
        <v>0</v>
      </c>
      <c r="J27" s="38" t="n">
        <f aca="false">H27+I27</f>
        <v>0</v>
      </c>
      <c r="K27" s="38" t="n">
        <f aca="false">IFERROR(ROUND(J27/30*15,2),0)</f>
        <v>0</v>
      </c>
      <c r="L27" s="38" t="n">
        <f aca="false">'Mid &amp; Assgn - B'!Z30</f>
        <v>0</v>
      </c>
      <c r="M27" s="38" t="n">
        <f aca="false">'Mid &amp; Assgn - B'!AA30</f>
        <v>0</v>
      </c>
      <c r="N27" s="38" t="n">
        <f aca="false">'Mid &amp; Assgn - B'!AB30</f>
        <v>0</v>
      </c>
      <c r="O27" s="38" t="n">
        <f aca="false">'Mid &amp; Assgn - B'!AC30</f>
        <v>0</v>
      </c>
      <c r="P27" s="38" t="n">
        <f aca="false">'Mid &amp; Assgn - B'!AD30</f>
        <v>0</v>
      </c>
      <c r="Q27" s="38" t="n">
        <f aca="false">'Mid &amp; Assgn - B'!AE30</f>
        <v>0</v>
      </c>
      <c r="R27" s="38" t="n">
        <f aca="false">IF(D27/30&gt;=0.7,3,IF(D27/30&gt;=0.5,2,IF(D27/30&gt;=0.35,1,0)))</f>
        <v>0</v>
      </c>
      <c r="S27" s="38" t="n">
        <f aca="false">IF(E27/30&gt;=0.7,3,IF(E27/30&gt;=0.5,2,IF(E27/30&gt;=0.35,1,0)))</f>
        <v>0</v>
      </c>
      <c r="T27" s="38" t="n">
        <f aca="false">IF(H27/30&gt;=0.7,3,IF(H27/30&gt;=0.5,2,IF(H27/30&gt;=0.35,1,0)))</f>
        <v>0</v>
      </c>
      <c r="U27" s="38" t="n">
        <f aca="false">IF(I27/30&gt;=0.7,3,IF(I27/30&gt;=0.5,2,IF(I27/30&gt;=0.35,1,0)))</f>
        <v>0</v>
      </c>
      <c r="V27" s="38"/>
      <c r="W27" s="38"/>
      <c r="X27" s="38"/>
      <c r="Y27" s="38"/>
      <c r="Z27" s="38" t="n">
        <f aca="false">G27+K27+L27+M27+N27+O27+P27</f>
        <v>0</v>
      </c>
      <c r="AA27" s="38" t="n">
        <f aca="false">IFERROR(AVERAGE(R27:U27),0)</f>
        <v>0</v>
      </c>
    </row>
    <row r="28" customFormat="false" ht="15" hidden="false" customHeight="true" outlineLevel="0" collapsed="false">
      <c r="A28" s="35" t="n">
        <v>15</v>
      </c>
      <c r="B28" s="35" t="n">
        <f aca="false">'Mid &amp; Assgn - B'!B31</f>
        <v>0</v>
      </c>
      <c r="C28" s="35" t="n">
        <f aca="false">'Mid &amp; Assgn - B'!C31</f>
        <v>0</v>
      </c>
      <c r="D28" s="36" t="n">
        <f aca="false">IFERROR(SUM('Mid &amp; Assgn - B'!D31:I31),0)</f>
        <v>0</v>
      </c>
      <c r="E28" s="36" t="n">
        <f aca="false">IFERROR(SUM('Mid &amp; Assgn - B'!J31:M31),0)</f>
        <v>0</v>
      </c>
      <c r="F28" s="36" t="n">
        <f aca="false">D28+E28</f>
        <v>0</v>
      </c>
      <c r="G28" s="36" t="n">
        <f aca="false">IFERROR(ROUND(F28/30*15,2),0)</f>
        <v>0</v>
      </c>
      <c r="H28" s="36" t="n">
        <f aca="false">IFERROR(SUM('Mid &amp; Assgn - B'!N31:S31),0)</f>
        <v>0</v>
      </c>
      <c r="I28" s="36" t="n">
        <f aca="false">IFERROR(SUM('Mid &amp; Assgn - B'!T31:Y31),0)</f>
        <v>0</v>
      </c>
      <c r="J28" s="36" t="n">
        <f aca="false">H28+I28</f>
        <v>0</v>
      </c>
      <c r="K28" s="36" t="n">
        <f aca="false">IFERROR(ROUND(J28/30*15,2),0)</f>
        <v>0</v>
      </c>
      <c r="L28" s="36" t="n">
        <f aca="false">'Mid &amp; Assgn - B'!Z31</f>
        <v>0</v>
      </c>
      <c r="M28" s="36" t="n">
        <f aca="false">'Mid &amp; Assgn - B'!AA31</f>
        <v>0</v>
      </c>
      <c r="N28" s="36" t="n">
        <f aca="false">'Mid &amp; Assgn - B'!AB31</f>
        <v>0</v>
      </c>
      <c r="O28" s="36" t="n">
        <f aca="false">'Mid &amp; Assgn - B'!AC31</f>
        <v>0</v>
      </c>
      <c r="P28" s="36" t="n">
        <f aca="false">'Mid &amp; Assgn - B'!AD31</f>
        <v>0</v>
      </c>
      <c r="Q28" s="36" t="n">
        <f aca="false">'Mid &amp; Assgn - B'!AE31</f>
        <v>0</v>
      </c>
      <c r="R28" s="36" t="n">
        <f aca="false">IF(D28/30&gt;=0.7,3,IF(D28/30&gt;=0.5,2,IF(D28/30&gt;=0.35,1,0)))</f>
        <v>0</v>
      </c>
      <c r="S28" s="36" t="n">
        <f aca="false">IF(E28/30&gt;=0.7,3,IF(E28/30&gt;=0.5,2,IF(E28/30&gt;=0.35,1,0)))</f>
        <v>0</v>
      </c>
      <c r="T28" s="36" t="n">
        <f aca="false">IF(H28/30&gt;=0.7,3,IF(H28/30&gt;=0.5,2,IF(H28/30&gt;=0.35,1,0)))</f>
        <v>0</v>
      </c>
      <c r="U28" s="36" t="n">
        <f aca="false">IF(I28/30&gt;=0.7,3,IF(I28/30&gt;=0.5,2,IF(I28/30&gt;=0.35,1,0)))</f>
        <v>0</v>
      </c>
      <c r="V28" s="36"/>
      <c r="W28" s="36"/>
      <c r="X28" s="36"/>
      <c r="Y28" s="36"/>
      <c r="Z28" s="36" t="n">
        <f aca="false">G28+K28+L28+M28+N28+O28+P28</f>
        <v>0</v>
      </c>
      <c r="AA28" s="36" t="n">
        <f aca="false">IFERROR(AVERAGE(R28:U28),0)</f>
        <v>0</v>
      </c>
    </row>
    <row r="29" customFormat="false" ht="15" hidden="false" customHeight="true" outlineLevel="0" collapsed="false">
      <c r="A29" s="37" t="n">
        <v>16</v>
      </c>
      <c r="B29" s="37" t="n">
        <f aca="false">'Mid &amp; Assgn - B'!B32</f>
        <v>0</v>
      </c>
      <c r="C29" s="37" t="n">
        <f aca="false">'Mid &amp; Assgn - B'!C32</f>
        <v>0</v>
      </c>
      <c r="D29" s="38" t="n">
        <f aca="false">IFERROR(SUM('Mid &amp; Assgn - B'!D32:I32),0)</f>
        <v>0</v>
      </c>
      <c r="E29" s="38" t="n">
        <f aca="false">IFERROR(SUM('Mid &amp; Assgn - B'!J32:M32),0)</f>
        <v>0</v>
      </c>
      <c r="F29" s="38" t="n">
        <f aca="false">D29+E29</f>
        <v>0</v>
      </c>
      <c r="G29" s="38" t="n">
        <f aca="false">IFERROR(ROUND(F29/30*15,2),0)</f>
        <v>0</v>
      </c>
      <c r="H29" s="38" t="n">
        <f aca="false">IFERROR(SUM('Mid &amp; Assgn - B'!N32:S32),0)</f>
        <v>0</v>
      </c>
      <c r="I29" s="38" t="n">
        <f aca="false">IFERROR(SUM('Mid &amp; Assgn - B'!T32:Y32),0)</f>
        <v>0</v>
      </c>
      <c r="J29" s="38" t="n">
        <f aca="false">H29+I29</f>
        <v>0</v>
      </c>
      <c r="K29" s="38" t="n">
        <f aca="false">IFERROR(ROUND(J29/30*15,2),0)</f>
        <v>0</v>
      </c>
      <c r="L29" s="38" t="n">
        <f aca="false">'Mid &amp; Assgn - B'!Z32</f>
        <v>0</v>
      </c>
      <c r="M29" s="38" t="n">
        <f aca="false">'Mid &amp; Assgn - B'!AA32</f>
        <v>0</v>
      </c>
      <c r="N29" s="38" t="n">
        <f aca="false">'Mid &amp; Assgn - B'!AB32</f>
        <v>0</v>
      </c>
      <c r="O29" s="38" t="n">
        <f aca="false">'Mid &amp; Assgn - B'!AC32</f>
        <v>0</v>
      </c>
      <c r="P29" s="38" t="n">
        <f aca="false">'Mid &amp; Assgn - B'!AD32</f>
        <v>0</v>
      </c>
      <c r="Q29" s="38" t="n">
        <f aca="false">'Mid &amp; Assgn - B'!AE32</f>
        <v>0</v>
      </c>
      <c r="R29" s="38" t="n">
        <f aca="false">IF(D29/30&gt;=0.7,3,IF(D29/30&gt;=0.5,2,IF(D29/30&gt;=0.35,1,0)))</f>
        <v>0</v>
      </c>
      <c r="S29" s="38" t="n">
        <f aca="false">IF(E29/30&gt;=0.7,3,IF(E29/30&gt;=0.5,2,IF(E29/30&gt;=0.35,1,0)))</f>
        <v>0</v>
      </c>
      <c r="T29" s="38" t="n">
        <f aca="false">IF(H29/30&gt;=0.7,3,IF(H29/30&gt;=0.5,2,IF(H29/30&gt;=0.35,1,0)))</f>
        <v>0</v>
      </c>
      <c r="U29" s="38" t="n">
        <f aca="false">IF(I29/30&gt;=0.7,3,IF(I29/30&gt;=0.5,2,IF(I29/30&gt;=0.35,1,0)))</f>
        <v>0</v>
      </c>
      <c r="V29" s="38"/>
      <c r="W29" s="38"/>
      <c r="X29" s="38"/>
      <c r="Y29" s="38"/>
      <c r="Z29" s="38" t="n">
        <f aca="false">G29+K29+L29+M29+N29+O29+P29</f>
        <v>0</v>
      </c>
      <c r="AA29" s="38" t="n">
        <f aca="false">IFERROR(AVERAGE(R29:U29),0)</f>
        <v>0</v>
      </c>
    </row>
    <row r="30" customFormat="false" ht="15" hidden="false" customHeight="true" outlineLevel="0" collapsed="false">
      <c r="A30" s="35" t="n">
        <v>17</v>
      </c>
      <c r="B30" s="35" t="n">
        <f aca="false">'Mid &amp; Assgn - B'!B33</f>
        <v>0</v>
      </c>
      <c r="C30" s="35" t="n">
        <f aca="false">'Mid &amp; Assgn - B'!C33</f>
        <v>0</v>
      </c>
      <c r="D30" s="36" t="n">
        <f aca="false">IFERROR(SUM('Mid &amp; Assgn - B'!D33:I33),0)</f>
        <v>0</v>
      </c>
      <c r="E30" s="36" t="n">
        <f aca="false">IFERROR(SUM('Mid &amp; Assgn - B'!J33:M33),0)</f>
        <v>0</v>
      </c>
      <c r="F30" s="36" t="n">
        <f aca="false">D30+E30</f>
        <v>0</v>
      </c>
      <c r="G30" s="36" t="n">
        <f aca="false">IFERROR(ROUND(F30/30*15,2),0)</f>
        <v>0</v>
      </c>
      <c r="H30" s="36" t="n">
        <f aca="false">IFERROR(SUM('Mid &amp; Assgn - B'!N33:S33),0)</f>
        <v>0</v>
      </c>
      <c r="I30" s="36" t="n">
        <f aca="false">IFERROR(SUM('Mid &amp; Assgn - B'!T33:Y33),0)</f>
        <v>0</v>
      </c>
      <c r="J30" s="36" t="n">
        <f aca="false">H30+I30</f>
        <v>0</v>
      </c>
      <c r="K30" s="36" t="n">
        <f aca="false">IFERROR(ROUND(J30/30*15,2),0)</f>
        <v>0</v>
      </c>
      <c r="L30" s="36" t="n">
        <f aca="false">'Mid &amp; Assgn - B'!Z33</f>
        <v>0</v>
      </c>
      <c r="M30" s="36" t="n">
        <f aca="false">'Mid &amp; Assgn - B'!AA33</f>
        <v>0</v>
      </c>
      <c r="N30" s="36" t="n">
        <f aca="false">'Mid &amp; Assgn - B'!AB33</f>
        <v>0</v>
      </c>
      <c r="O30" s="36" t="n">
        <f aca="false">'Mid &amp; Assgn - B'!AC33</f>
        <v>0</v>
      </c>
      <c r="P30" s="36" t="n">
        <f aca="false">'Mid &amp; Assgn - B'!AD33</f>
        <v>0</v>
      </c>
      <c r="Q30" s="36" t="n">
        <f aca="false">'Mid &amp; Assgn - B'!AE33</f>
        <v>0</v>
      </c>
      <c r="R30" s="36" t="n">
        <f aca="false">IF(D30/30&gt;=0.7,3,IF(D30/30&gt;=0.5,2,IF(D30/30&gt;=0.35,1,0)))</f>
        <v>0</v>
      </c>
      <c r="S30" s="36" t="n">
        <f aca="false">IF(E30/30&gt;=0.7,3,IF(E30/30&gt;=0.5,2,IF(E30/30&gt;=0.35,1,0)))</f>
        <v>0</v>
      </c>
      <c r="T30" s="36" t="n">
        <f aca="false">IF(H30/30&gt;=0.7,3,IF(H30/30&gt;=0.5,2,IF(H30/30&gt;=0.35,1,0)))</f>
        <v>0</v>
      </c>
      <c r="U30" s="36" t="n">
        <f aca="false">IF(I30/30&gt;=0.7,3,IF(I30/30&gt;=0.5,2,IF(I30/30&gt;=0.35,1,0)))</f>
        <v>0</v>
      </c>
      <c r="V30" s="36"/>
      <c r="W30" s="36"/>
      <c r="X30" s="36"/>
      <c r="Y30" s="36"/>
      <c r="Z30" s="36" t="n">
        <f aca="false">G30+K30+L30+M30+N30+O30+P30</f>
        <v>0</v>
      </c>
      <c r="AA30" s="36" t="n">
        <f aca="false">IFERROR(AVERAGE(R30:U30),0)</f>
        <v>0</v>
      </c>
    </row>
    <row r="31" customFormat="false" ht="15" hidden="false" customHeight="true" outlineLevel="0" collapsed="false">
      <c r="A31" s="37" t="n">
        <v>18</v>
      </c>
      <c r="B31" s="37" t="n">
        <f aca="false">'Mid &amp; Assgn - B'!B34</f>
        <v>0</v>
      </c>
      <c r="C31" s="37" t="n">
        <f aca="false">'Mid &amp; Assgn - B'!C34</f>
        <v>0</v>
      </c>
      <c r="D31" s="38" t="n">
        <f aca="false">IFERROR(SUM('Mid &amp; Assgn - B'!D34:I34),0)</f>
        <v>0</v>
      </c>
      <c r="E31" s="38" t="n">
        <f aca="false">IFERROR(SUM('Mid &amp; Assgn - B'!J34:M34),0)</f>
        <v>0</v>
      </c>
      <c r="F31" s="38" t="n">
        <f aca="false">D31+E31</f>
        <v>0</v>
      </c>
      <c r="G31" s="38" t="n">
        <f aca="false">IFERROR(ROUND(F31/30*15,2),0)</f>
        <v>0</v>
      </c>
      <c r="H31" s="38" t="n">
        <f aca="false">IFERROR(SUM('Mid &amp; Assgn - B'!N34:S34),0)</f>
        <v>0</v>
      </c>
      <c r="I31" s="38" t="n">
        <f aca="false">IFERROR(SUM('Mid &amp; Assgn - B'!T34:Y34),0)</f>
        <v>0</v>
      </c>
      <c r="J31" s="38" t="n">
        <f aca="false">H31+I31</f>
        <v>0</v>
      </c>
      <c r="K31" s="38" t="n">
        <f aca="false">IFERROR(ROUND(J31/30*15,2),0)</f>
        <v>0</v>
      </c>
      <c r="L31" s="38" t="n">
        <f aca="false">'Mid &amp; Assgn - B'!Z34</f>
        <v>0</v>
      </c>
      <c r="M31" s="38" t="n">
        <f aca="false">'Mid &amp; Assgn - B'!AA34</f>
        <v>0</v>
      </c>
      <c r="N31" s="38" t="n">
        <f aca="false">'Mid &amp; Assgn - B'!AB34</f>
        <v>0</v>
      </c>
      <c r="O31" s="38" t="n">
        <f aca="false">'Mid &amp; Assgn - B'!AC34</f>
        <v>0</v>
      </c>
      <c r="P31" s="38" t="n">
        <f aca="false">'Mid &amp; Assgn - B'!AD34</f>
        <v>0</v>
      </c>
      <c r="Q31" s="38" t="n">
        <f aca="false">'Mid &amp; Assgn - B'!AE34</f>
        <v>0</v>
      </c>
      <c r="R31" s="38" t="n">
        <f aca="false">IF(D31/30&gt;=0.7,3,IF(D31/30&gt;=0.5,2,IF(D31/30&gt;=0.35,1,0)))</f>
        <v>0</v>
      </c>
      <c r="S31" s="38" t="n">
        <f aca="false">IF(E31/30&gt;=0.7,3,IF(E31/30&gt;=0.5,2,IF(E31/30&gt;=0.35,1,0)))</f>
        <v>0</v>
      </c>
      <c r="T31" s="38" t="n">
        <f aca="false">IF(H31/30&gt;=0.7,3,IF(H31/30&gt;=0.5,2,IF(H31/30&gt;=0.35,1,0)))</f>
        <v>0</v>
      </c>
      <c r="U31" s="38" t="n">
        <f aca="false">IF(I31/30&gt;=0.7,3,IF(I31/30&gt;=0.5,2,IF(I31/30&gt;=0.35,1,0)))</f>
        <v>0</v>
      </c>
      <c r="V31" s="38"/>
      <c r="W31" s="38"/>
      <c r="X31" s="38"/>
      <c r="Y31" s="38"/>
      <c r="Z31" s="38" t="n">
        <f aca="false">G31+K31+L31+M31+N31+O31+P31</f>
        <v>0</v>
      </c>
      <c r="AA31" s="38" t="n">
        <f aca="false">IFERROR(AVERAGE(R31:U31),0)</f>
        <v>0</v>
      </c>
    </row>
    <row r="32" customFormat="false" ht="15" hidden="false" customHeight="true" outlineLevel="0" collapsed="false">
      <c r="A32" s="35" t="n">
        <v>19</v>
      </c>
      <c r="B32" s="35" t="n">
        <f aca="false">'Mid &amp; Assgn - B'!B35</f>
        <v>0</v>
      </c>
      <c r="C32" s="35" t="n">
        <f aca="false">'Mid &amp; Assgn - B'!C35</f>
        <v>0</v>
      </c>
      <c r="D32" s="36" t="n">
        <f aca="false">IFERROR(SUM('Mid &amp; Assgn - B'!D35:I35),0)</f>
        <v>0</v>
      </c>
      <c r="E32" s="36" t="n">
        <f aca="false">IFERROR(SUM('Mid &amp; Assgn - B'!J35:M35),0)</f>
        <v>0</v>
      </c>
      <c r="F32" s="36" t="n">
        <f aca="false">D32+E32</f>
        <v>0</v>
      </c>
      <c r="G32" s="36" t="n">
        <f aca="false">IFERROR(ROUND(F32/30*15,2),0)</f>
        <v>0</v>
      </c>
      <c r="H32" s="36" t="n">
        <f aca="false">IFERROR(SUM('Mid &amp; Assgn - B'!N35:S35),0)</f>
        <v>0</v>
      </c>
      <c r="I32" s="36" t="n">
        <f aca="false">IFERROR(SUM('Mid &amp; Assgn - B'!T35:Y35),0)</f>
        <v>0</v>
      </c>
      <c r="J32" s="36" t="n">
        <f aca="false">H32+I32</f>
        <v>0</v>
      </c>
      <c r="K32" s="36" t="n">
        <f aca="false">IFERROR(ROUND(J32/30*15,2),0)</f>
        <v>0</v>
      </c>
      <c r="L32" s="36" t="n">
        <f aca="false">'Mid &amp; Assgn - B'!Z35</f>
        <v>0</v>
      </c>
      <c r="M32" s="36" t="n">
        <f aca="false">'Mid &amp; Assgn - B'!AA35</f>
        <v>0</v>
      </c>
      <c r="N32" s="36" t="n">
        <f aca="false">'Mid &amp; Assgn - B'!AB35</f>
        <v>0</v>
      </c>
      <c r="O32" s="36" t="n">
        <f aca="false">'Mid &amp; Assgn - B'!AC35</f>
        <v>0</v>
      </c>
      <c r="P32" s="36" t="n">
        <f aca="false">'Mid &amp; Assgn - B'!AD35</f>
        <v>0</v>
      </c>
      <c r="Q32" s="36" t="n">
        <f aca="false">'Mid &amp; Assgn - B'!AE35</f>
        <v>0</v>
      </c>
      <c r="R32" s="36" t="n">
        <f aca="false">IF(D32/30&gt;=0.7,3,IF(D32/30&gt;=0.5,2,IF(D32/30&gt;=0.35,1,0)))</f>
        <v>0</v>
      </c>
      <c r="S32" s="36" t="n">
        <f aca="false">IF(E32/30&gt;=0.7,3,IF(E32/30&gt;=0.5,2,IF(E32/30&gt;=0.35,1,0)))</f>
        <v>0</v>
      </c>
      <c r="T32" s="36" t="n">
        <f aca="false">IF(H32/30&gt;=0.7,3,IF(H32/30&gt;=0.5,2,IF(H32/30&gt;=0.35,1,0)))</f>
        <v>0</v>
      </c>
      <c r="U32" s="36" t="n">
        <f aca="false">IF(I32/30&gt;=0.7,3,IF(I32/30&gt;=0.5,2,IF(I32/30&gt;=0.35,1,0)))</f>
        <v>0</v>
      </c>
      <c r="V32" s="36"/>
      <c r="W32" s="36"/>
      <c r="X32" s="36"/>
      <c r="Y32" s="36"/>
      <c r="Z32" s="36" t="n">
        <f aca="false">G32+K32+L32+M32+N32+O32+P32</f>
        <v>0</v>
      </c>
      <c r="AA32" s="36" t="n">
        <f aca="false">IFERROR(AVERAGE(R32:U32),0)</f>
        <v>0</v>
      </c>
    </row>
    <row r="33" customFormat="false" ht="15" hidden="false" customHeight="true" outlineLevel="0" collapsed="false">
      <c r="A33" s="37" t="n">
        <v>20</v>
      </c>
      <c r="B33" s="37" t="n">
        <f aca="false">'Mid &amp; Assgn - B'!B36</f>
        <v>0</v>
      </c>
      <c r="C33" s="37" t="n">
        <f aca="false">'Mid &amp; Assgn - B'!C36</f>
        <v>0</v>
      </c>
      <c r="D33" s="38" t="n">
        <f aca="false">IFERROR(SUM('Mid &amp; Assgn - B'!D36:I36),0)</f>
        <v>0</v>
      </c>
      <c r="E33" s="38" t="n">
        <f aca="false">IFERROR(SUM('Mid &amp; Assgn - B'!J36:M36),0)</f>
        <v>0</v>
      </c>
      <c r="F33" s="38" t="n">
        <f aca="false">D33+E33</f>
        <v>0</v>
      </c>
      <c r="G33" s="38" t="n">
        <f aca="false">IFERROR(ROUND(F33/30*15,2),0)</f>
        <v>0</v>
      </c>
      <c r="H33" s="38" t="n">
        <f aca="false">IFERROR(SUM('Mid &amp; Assgn - B'!N36:S36),0)</f>
        <v>0</v>
      </c>
      <c r="I33" s="38" t="n">
        <f aca="false">IFERROR(SUM('Mid &amp; Assgn - B'!T36:Y36),0)</f>
        <v>0</v>
      </c>
      <c r="J33" s="38" t="n">
        <f aca="false">H33+I33</f>
        <v>0</v>
      </c>
      <c r="K33" s="38" t="n">
        <f aca="false">IFERROR(ROUND(J33/30*15,2),0)</f>
        <v>0</v>
      </c>
      <c r="L33" s="38" t="n">
        <f aca="false">'Mid &amp; Assgn - B'!Z36</f>
        <v>0</v>
      </c>
      <c r="M33" s="38" t="n">
        <f aca="false">'Mid &amp; Assgn - B'!AA36</f>
        <v>0</v>
      </c>
      <c r="N33" s="38" t="n">
        <f aca="false">'Mid &amp; Assgn - B'!AB36</f>
        <v>0</v>
      </c>
      <c r="O33" s="38" t="n">
        <f aca="false">'Mid &amp; Assgn - B'!AC36</f>
        <v>0</v>
      </c>
      <c r="P33" s="38" t="n">
        <f aca="false">'Mid &amp; Assgn - B'!AD36</f>
        <v>0</v>
      </c>
      <c r="Q33" s="38" t="n">
        <f aca="false">'Mid &amp; Assgn - B'!AE36</f>
        <v>0</v>
      </c>
      <c r="R33" s="38" t="n">
        <f aca="false">IF(D33/30&gt;=0.7,3,IF(D33/30&gt;=0.5,2,IF(D33/30&gt;=0.35,1,0)))</f>
        <v>0</v>
      </c>
      <c r="S33" s="38" t="n">
        <f aca="false">IF(E33/30&gt;=0.7,3,IF(E33/30&gt;=0.5,2,IF(E33/30&gt;=0.35,1,0)))</f>
        <v>0</v>
      </c>
      <c r="T33" s="38" t="n">
        <f aca="false">IF(H33/30&gt;=0.7,3,IF(H33/30&gt;=0.5,2,IF(H33/30&gt;=0.35,1,0)))</f>
        <v>0</v>
      </c>
      <c r="U33" s="38" t="n">
        <f aca="false">IF(I33/30&gt;=0.7,3,IF(I33/30&gt;=0.5,2,IF(I33/30&gt;=0.35,1,0)))</f>
        <v>0</v>
      </c>
      <c r="V33" s="38"/>
      <c r="W33" s="38"/>
      <c r="X33" s="38"/>
      <c r="Y33" s="38"/>
      <c r="Z33" s="38" t="n">
        <f aca="false">G33+K33+L33+M33+N33+O33+P33</f>
        <v>0</v>
      </c>
      <c r="AA33" s="38" t="n">
        <f aca="false">IFERROR(AVERAGE(R33:U33),0)</f>
        <v>0</v>
      </c>
    </row>
    <row r="34" customFormat="false" ht="15" hidden="false" customHeight="true" outlineLevel="0" collapsed="false">
      <c r="A34" s="35" t="n">
        <v>21</v>
      </c>
      <c r="B34" s="35" t="n">
        <f aca="false">'Mid &amp; Assgn - B'!B37</f>
        <v>0</v>
      </c>
      <c r="C34" s="35" t="n">
        <f aca="false">'Mid &amp; Assgn - B'!C37</f>
        <v>0</v>
      </c>
      <c r="D34" s="36" t="n">
        <f aca="false">IFERROR(SUM('Mid &amp; Assgn - B'!D37:I37),0)</f>
        <v>0</v>
      </c>
      <c r="E34" s="36" t="n">
        <f aca="false">IFERROR(SUM('Mid &amp; Assgn - B'!J37:M37),0)</f>
        <v>0</v>
      </c>
      <c r="F34" s="36" t="n">
        <f aca="false">D34+E34</f>
        <v>0</v>
      </c>
      <c r="G34" s="36" t="n">
        <f aca="false">IFERROR(ROUND(F34/30*15,2),0)</f>
        <v>0</v>
      </c>
      <c r="H34" s="36" t="n">
        <f aca="false">IFERROR(SUM('Mid &amp; Assgn - B'!N37:S37),0)</f>
        <v>0</v>
      </c>
      <c r="I34" s="36" t="n">
        <f aca="false">IFERROR(SUM('Mid &amp; Assgn - B'!T37:Y37),0)</f>
        <v>0</v>
      </c>
      <c r="J34" s="36" t="n">
        <f aca="false">H34+I34</f>
        <v>0</v>
      </c>
      <c r="K34" s="36" t="n">
        <f aca="false">IFERROR(ROUND(J34/30*15,2),0)</f>
        <v>0</v>
      </c>
      <c r="L34" s="36" t="n">
        <f aca="false">'Mid &amp; Assgn - B'!Z37</f>
        <v>0</v>
      </c>
      <c r="M34" s="36" t="n">
        <f aca="false">'Mid &amp; Assgn - B'!AA37</f>
        <v>0</v>
      </c>
      <c r="N34" s="36" t="n">
        <f aca="false">'Mid &amp; Assgn - B'!AB37</f>
        <v>0</v>
      </c>
      <c r="O34" s="36" t="n">
        <f aca="false">'Mid &amp; Assgn - B'!AC37</f>
        <v>0</v>
      </c>
      <c r="P34" s="36" t="n">
        <f aca="false">'Mid &amp; Assgn - B'!AD37</f>
        <v>0</v>
      </c>
      <c r="Q34" s="36" t="n">
        <f aca="false">'Mid &amp; Assgn - B'!AE37</f>
        <v>0</v>
      </c>
      <c r="R34" s="36" t="n">
        <f aca="false">IF(D34/30&gt;=0.7,3,IF(D34/30&gt;=0.5,2,IF(D34/30&gt;=0.35,1,0)))</f>
        <v>0</v>
      </c>
      <c r="S34" s="36" t="n">
        <f aca="false">IF(E34/30&gt;=0.7,3,IF(E34/30&gt;=0.5,2,IF(E34/30&gt;=0.35,1,0)))</f>
        <v>0</v>
      </c>
      <c r="T34" s="36" t="n">
        <f aca="false">IF(H34/30&gt;=0.7,3,IF(H34/30&gt;=0.5,2,IF(H34/30&gt;=0.35,1,0)))</f>
        <v>0</v>
      </c>
      <c r="U34" s="36" t="n">
        <f aca="false">IF(I34/30&gt;=0.7,3,IF(I34/30&gt;=0.5,2,IF(I34/30&gt;=0.35,1,0)))</f>
        <v>0</v>
      </c>
      <c r="V34" s="36"/>
      <c r="W34" s="36"/>
      <c r="X34" s="36"/>
      <c r="Y34" s="36"/>
      <c r="Z34" s="36" t="n">
        <f aca="false">G34+K34+L34+M34+N34+O34+P34</f>
        <v>0</v>
      </c>
      <c r="AA34" s="36" t="n">
        <f aca="false">IFERROR(AVERAGE(R34:U34),0)</f>
        <v>0</v>
      </c>
    </row>
    <row r="35" customFormat="false" ht="15" hidden="false" customHeight="true" outlineLevel="0" collapsed="false">
      <c r="A35" s="37" t="n">
        <v>22</v>
      </c>
      <c r="B35" s="37" t="n">
        <f aca="false">'Mid &amp; Assgn - B'!B38</f>
        <v>0</v>
      </c>
      <c r="C35" s="37" t="n">
        <f aca="false">'Mid &amp; Assgn - B'!C38</f>
        <v>0</v>
      </c>
      <c r="D35" s="38" t="n">
        <f aca="false">IFERROR(SUM('Mid &amp; Assgn - B'!D38:I38),0)</f>
        <v>0</v>
      </c>
      <c r="E35" s="38" t="n">
        <f aca="false">IFERROR(SUM('Mid &amp; Assgn - B'!J38:M38),0)</f>
        <v>0</v>
      </c>
      <c r="F35" s="38" t="n">
        <f aca="false">D35+E35</f>
        <v>0</v>
      </c>
      <c r="G35" s="38" t="n">
        <f aca="false">IFERROR(ROUND(F35/30*15,2),0)</f>
        <v>0</v>
      </c>
      <c r="H35" s="38" t="n">
        <f aca="false">IFERROR(SUM('Mid &amp; Assgn - B'!N38:S38),0)</f>
        <v>0</v>
      </c>
      <c r="I35" s="38" t="n">
        <f aca="false">IFERROR(SUM('Mid &amp; Assgn - B'!T38:Y38),0)</f>
        <v>0</v>
      </c>
      <c r="J35" s="38" t="n">
        <f aca="false">H35+I35</f>
        <v>0</v>
      </c>
      <c r="K35" s="38" t="n">
        <f aca="false">IFERROR(ROUND(J35/30*15,2),0)</f>
        <v>0</v>
      </c>
      <c r="L35" s="38" t="n">
        <f aca="false">'Mid &amp; Assgn - B'!Z38</f>
        <v>0</v>
      </c>
      <c r="M35" s="38" t="n">
        <f aca="false">'Mid &amp; Assgn - B'!AA38</f>
        <v>0</v>
      </c>
      <c r="N35" s="38" t="n">
        <f aca="false">'Mid &amp; Assgn - B'!AB38</f>
        <v>0</v>
      </c>
      <c r="O35" s="38" t="n">
        <f aca="false">'Mid &amp; Assgn - B'!AC38</f>
        <v>0</v>
      </c>
      <c r="P35" s="38" t="n">
        <f aca="false">'Mid &amp; Assgn - B'!AD38</f>
        <v>0</v>
      </c>
      <c r="Q35" s="38" t="n">
        <f aca="false">'Mid &amp; Assgn - B'!AE38</f>
        <v>0</v>
      </c>
      <c r="R35" s="38" t="n">
        <f aca="false">IF(D35/30&gt;=0.7,3,IF(D35/30&gt;=0.5,2,IF(D35/30&gt;=0.35,1,0)))</f>
        <v>0</v>
      </c>
      <c r="S35" s="38" t="n">
        <f aca="false">IF(E35/30&gt;=0.7,3,IF(E35/30&gt;=0.5,2,IF(E35/30&gt;=0.35,1,0)))</f>
        <v>0</v>
      </c>
      <c r="T35" s="38" t="n">
        <f aca="false">IF(H35/30&gt;=0.7,3,IF(H35/30&gt;=0.5,2,IF(H35/30&gt;=0.35,1,0)))</f>
        <v>0</v>
      </c>
      <c r="U35" s="38" t="n">
        <f aca="false">IF(I35/30&gt;=0.7,3,IF(I35/30&gt;=0.5,2,IF(I35/30&gt;=0.35,1,0)))</f>
        <v>0</v>
      </c>
      <c r="V35" s="38"/>
      <c r="W35" s="38"/>
      <c r="X35" s="38"/>
      <c r="Y35" s="38"/>
      <c r="Z35" s="38" t="n">
        <f aca="false">G35+K35+L35+M35+N35+O35+P35</f>
        <v>0</v>
      </c>
      <c r="AA35" s="38" t="n">
        <f aca="false">IFERROR(AVERAGE(R35:U35),0)</f>
        <v>0</v>
      </c>
    </row>
    <row r="36" customFormat="false" ht="15" hidden="false" customHeight="true" outlineLevel="0" collapsed="false">
      <c r="A36" s="35" t="n">
        <v>23</v>
      </c>
      <c r="B36" s="35" t="n">
        <f aca="false">'Mid &amp; Assgn - B'!B39</f>
        <v>0</v>
      </c>
      <c r="C36" s="35" t="n">
        <f aca="false">'Mid &amp; Assgn - B'!C39</f>
        <v>0</v>
      </c>
      <c r="D36" s="36" t="n">
        <f aca="false">IFERROR(SUM('Mid &amp; Assgn - B'!D39:I39),0)</f>
        <v>0</v>
      </c>
      <c r="E36" s="36" t="n">
        <f aca="false">IFERROR(SUM('Mid &amp; Assgn - B'!J39:M39),0)</f>
        <v>0</v>
      </c>
      <c r="F36" s="36" t="n">
        <f aca="false">D36+E36</f>
        <v>0</v>
      </c>
      <c r="G36" s="36" t="n">
        <f aca="false">IFERROR(ROUND(F36/30*15,2),0)</f>
        <v>0</v>
      </c>
      <c r="H36" s="36" t="n">
        <f aca="false">IFERROR(SUM('Mid &amp; Assgn - B'!N39:S39),0)</f>
        <v>0</v>
      </c>
      <c r="I36" s="36" t="n">
        <f aca="false">IFERROR(SUM('Mid &amp; Assgn - B'!T39:Y39),0)</f>
        <v>0</v>
      </c>
      <c r="J36" s="36" t="n">
        <f aca="false">H36+I36</f>
        <v>0</v>
      </c>
      <c r="K36" s="36" t="n">
        <f aca="false">IFERROR(ROUND(J36/30*15,2),0)</f>
        <v>0</v>
      </c>
      <c r="L36" s="36" t="n">
        <f aca="false">'Mid &amp; Assgn - B'!Z39</f>
        <v>0</v>
      </c>
      <c r="M36" s="36" t="n">
        <f aca="false">'Mid &amp; Assgn - B'!AA39</f>
        <v>0</v>
      </c>
      <c r="N36" s="36" t="n">
        <f aca="false">'Mid &amp; Assgn - B'!AB39</f>
        <v>0</v>
      </c>
      <c r="O36" s="36" t="n">
        <f aca="false">'Mid &amp; Assgn - B'!AC39</f>
        <v>0</v>
      </c>
      <c r="P36" s="36" t="n">
        <f aca="false">'Mid &amp; Assgn - B'!AD39</f>
        <v>0</v>
      </c>
      <c r="Q36" s="36" t="n">
        <f aca="false">'Mid &amp; Assgn - B'!AE39</f>
        <v>0</v>
      </c>
      <c r="R36" s="36" t="n">
        <f aca="false">IF(D36/30&gt;=0.7,3,IF(D36/30&gt;=0.5,2,IF(D36/30&gt;=0.35,1,0)))</f>
        <v>0</v>
      </c>
      <c r="S36" s="36" t="n">
        <f aca="false">IF(E36/30&gt;=0.7,3,IF(E36/30&gt;=0.5,2,IF(E36/30&gt;=0.35,1,0)))</f>
        <v>0</v>
      </c>
      <c r="T36" s="36" t="n">
        <f aca="false">IF(H36/30&gt;=0.7,3,IF(H36/30&gt;=0.5,2,IF(H36/30&gt;=0.35,1,0)))</f>
        <v>0</v>
      </c>
      <c r="U36" s="36" t="n">
        <f aca="false">IF(I36/30&gt;=0.7,3,IF(I36/30&gt;=0.5,2,IF(I36/30&gt;=0.35,1,0)))</f>
        <v>0</v>
      </c>
      <c r="V36" s="36"/>
      <c r="W36" s="36"/>
      <c r="X36" s="36"/>
      <c r="Y36" s="36"/>
      <c r="Z36" s="36" t="n">
        <f aca="false">G36+K36+L36+M36+N36+O36+P36</f>
        <v>0</v>
      </c>
      <c r="AA36" s="36" t="n">
        <f aca="false">IFERROR(AVERAGE(R36:U36),0)</f>
        <v>0</v>
      </c>
    </row>
    <row r="37" customFormat="false" ht="15" hidden="false" customHeight="true" outlineLevel="0" collapsed="false">
      <c r="A37" s="37" t="n">
        <v>24</v>
      </c>
      <c r="B37" s="37" t="n">
        <f aca="false">'Mid &amp; Assgn - B'!B40</f>
        <v>0</v>
      </c>
      <c r="C37" s="37" t="n">
        <f aca="false">'Mid &amp; Assgn - B'!C40</f>
        <v>0</v>
      </c>
      <c r="D37" s="38" t="n">
        <f aca="false">IFERROR(SUM('Mid &amp; Assgn - B'!D40:I40),0)</f>
        <v>0</v>
      </c>
      <c r="E37" s="38" t="n">
        <f aca="false">IFERROR(SUM('Mid &amp; Assgn - B'!J40:M40),0)</f>
        <v>0</v>
      </c>
      <c r="F37" s="38" t="n">
        <f aca="false">D37+E37</f>
        <v>0</v>
      </c>
      <c r="G37" s="38" t="n">
        <f aca="false">IFERROR(ROUND(F37/30*15,2),0)</f>
        <v>0</v>
      </c>
      <c r="H37" s="38" t="n">
        <f aca="false">IFERROR(SUM('Mid &amp; Assgn - B'!N40:S40),0)</f>
        <v>0</v>
      </c>
      <c r="I37" s="38" t="n">
        <f aca="false">IFERROR(SUM('Mid &amp; Assgn - B'!T40:Y40),0)</f>
        <v>0</v>
      </c>
      <c r="J37" s="38" t="n">
        <f aca="false">H37+I37</f>
        <v>0</v>
      </c>
      <c r="K37" s="38" t="n">
        <f aca="false">IFERROR(ROUND(J37/30*15,2),0)</f>
        <v>0</v>
      </c>
      <c r="L37" s="38" t="n">
        <f aca="false">'Mid &amp; Assgn - B'!Z40</f>
        <v>0</v>
      </c>
      <c r="M37" s="38" t="n">
        <f aca="false">'Mid &amp; Assgn - B'!AA40</f>
        <v>0</v>
      </c>
      <c r="N37" s="38" t="n">
        <f aca="false">'Mid &amp; Assgn - B'!AB40</f>
        <v>0</v>
      </c>
      <c r="O37" s="38" t="n">
        <f aca="false">'Mid &amp; Assgn - B'!AC40</f>
        <v>0</v>
      </c>
      <c r="P37" s="38" t="n">
        <f aca="false">'Mid &amp; Assgn - B'!AD40</f>
        <v>0</v>
      </c>
      <c r="Q37" s="38" t="n">
        <f aca="false">'Mid &amp; Assgn - B'!AE40</f>
        <v>0</v>
      </c>
      <c r="R37" s="38" t="n">
        <f aca="false">IF(D37/30&gt;=0.7,3,IF(D37/30&gt;=0.5,2,IF(D37/30&gt;=0.35,1,0)))</f>
        <v>0</v>
      </c>
      <c r="S37" s="38" t="n">
        <f aca="false">IF(E37/30&gt;=0.7,3,IF(E37/30&gt;=0.5,2,IF(E37/30&gt;=0.35,1,0)))</f>
        <v>0</v>
      </c>
      <c r="T37" s="38" t="n">
        <f aca="false">IF(H37/30&gt;=0.7,3,IF(H37/30&gt;=0.5,2,IF(H37/30&gt;=0.35,1,0)))</f>
        <v>0</v>
      </c>
      <c r="U37" s="38" t="n">
        <f aca="false">IF(I37/30&gt;=0.7,3,IF(I37/30&gt;=0.5,2,IF(I37/30&gt;=0.35,1,0)))</f>
        <v>0</v>
      </c>
      <c r="V37" s="38"/>
      <c r="W37" s="38"/>
      <c r="X37" s="38"/>
      <c r="Y37" s="38"/>
      <c r="Z37" s="38" t="n">
        <f aca="false">G37+K37+L37+M37+N37+O37+P37</f>
        <v>0</v>
      </c>
      <c r="AA37" s="38" t="n">
        <f aca="false">IFERROR(AVERAGE(R37:U37),0)</f>
        <v>0</v>
      </c>
    </row>
    <row r="38" customFormat="false" ht="15" hidden="false" customHeight="true" outlineLevel="0" collapsed="false">
      <c r="A38" s="35" t="n">
        <v>25</v>
      </c>
      <c r="B38" s="35" t="n">
        <f aca="false">'Mid &amp; Assgn - B'!B41</f>
        <v>0</v>
      </c>
      <c r="C38" s="35" t="n">
        <f aca="false">'Mid &amp; Assgn - B'!C41</f>
        <v>0</v>
      </c>
      <c r="D38" s="36" t="n">
        <f aca="false">IFERROR(SUM('Mid &amp; Assgn - B'!D41:I41),0)</f>
        <v>0</v>
      </c>
      <c r="E38" s="36" t="n">
        <f aca="false">IFERROR(SUM('Mid &amp; Assgn - B'!J41:M41),0)</f>
        <v>0</v>
      </c>
      <c r="F38" s="36" t="n">
        <f aca="false">D38+E38</f>
        <v>0</v>
      </c>
      <c r="G38" s="36" t="n">
        <f aca="false">IFERROR(ROUND(F38/30*15,2),0)</f>
        <v>0</v>
      </c>
      <c r="H38" s="36" t="n">
        <f aca="false">IFERROR(SUM('Mid &amp; Assgn - B'!N41:S41),0)</f>
        <v>0</v>
      </c>
      <c r="I38" s="36" t="n">
        <f aca="false">IFERROR(SUM('Mid &amp; Assgn - B'!T41:Y41),0)</f>
        <v>0</v>
      </c>
      <c r="J38" s="36" t="n">
        <f aca="false">H38+I38</f>
        <v>0</v>
      </c>
      <c r="K38" s="36" t="n">
        <f aca="false">IFERROR(ROUND(J38/30*15,2),0)</f>
        <v>0</v>
      </c>
      <c r="L38" s="36" t="n">
        <f aca="false">'Mid &amp; Assgn - B'!Z41</f>
        <v>0</v>
      </c>
      <c r="M38" s="36" t="n">
        <f aca="false">'Mid &amp; Assgn - B'!AA41</f>
        <v>0</v>
      </c>
      <c r="N38" s="36" t="n">
        <f aca="false">'Mid &amp; Assgn - B'!AB41</f>
        <v>0</v>
      </c>
      <c r="O38" s="36" t="n">
        <f aca="false">'Mid &amp; Assgn - B'!AC41</f>
        <v>0</v>
      </c>
      <c r="P38" s="36" t="n">
        <f aca="false">'Mid &amp; Assgn - B'!AD41</f>
        <v>0</v>
      </c>
      <c r="Q38" s="36" t="n">
        <f aca="false">'Mid &amp; Assgn - B'!AE41</f>
        <v>0</v>
      </c>
      <c r="R38" s="36" t="n">
        <f aca="false">IF(D38/30&gt;=0.7,3,IF(D38/30&gt;=0.5,2,IF(D38/30&gt;=0.35,1,0)))</f>
        <v>0</v>
      </c>
      <c r="S38" s="36" t="n">
        <f aca="false">IF(E38/30&gt;=0.7,3,IF(E38/30&gt;=0.5,2,IF(E38/30&gt;=0.35,1,0)))</f>
        <v>0</v>
      </c>
      <c r="T38" s="36" t="n">
        <f aca="false">IF(H38/30&gt;=0.7,3,IF(H38/30&gt;=0.5,2,IF(H38/30&gt;=0.35,1,0)))</f>
        <v>0</v>
      </c>
      <c r="U38" s="36" t="n">
        <f aca="false">IF(I38/30&gt;=0.7,3,IF(I38/30&gt;=0.5,2,IF(I38/30&gt;=0.35,1,0)))</f>
        <v>0</v>
      </c>
      <c r="V38" s="36"/>
      <c r="W38" s="36"/>
      <c r="X38" s="36"/>
      <c r="Y38" s="36"/>
      <c r="Z38" s="36" t="n">
        <f aca="false">G38+K38+L38+M38+N38+O38+P38</f>
        <v>0</v>
      </c>
      <c r="AA38" s="36" t="n">
        <f aca="false">IFERROR(AVERAGE(R38:U38),0)</f>
        <v>0</v>
      </c>
    </row>
    <row r="39" customFormat="false" ht="15" hidden="false" customHeight="true" outlineLevel="0" collapsed="false">
      <c r="A39" s="37" t="n">
        <v>26</v>
      </c>
      <c r="B39" s="37" t="n">
        <f aca="false">'Mid &amp; Assgn - B'!B42</f>
        <v>0</v>
      </c>
      <c r="C39" s="37" t="n">
        <f aca="false">'Mid &amp; Assgn - B'!C42</f>
        <v>0</v>
      </c>
      <c r="D39" s="38" t="n">
        <f aca="false">IFERROR(SUM('Mid &amp; Assgn - B'!D42:I42),0)</f>
        <v>0</v>
      </c>
      <c r="E39" s="38" t="n">
        <f aca="false">IFERROR(SUM('Mid &amp; Assgn - B'!J42:M42),0)</f>
        <v>0</v>
      </c>
      <c r="F39" s="38" t="n">
        <f aca="false">D39+E39</f>
        <v>0</v>
      </c>
      <c r="G39" s="38" t="n">
        <f aca="false">IFERROR(ROUND(F39/30*15,2),0)</f>
        <v>0</v>
      </c>
      <c r="H39" s="38" t="n">
        <f aca="false">IFERROR(SUM('Mid &amp; Assgn - B'!N42:S42),0)</f>
        <v>0</v>
      </c>
      <c r="I39" s="38" t="n">
        <f aca="false">IFERROR(SUM('Mid &amp; Assgn - B'!T42:Y42),0)</f>
        <v>0</v>
      </c>
      <c r="J39" s="38" t="n">
        <f aca="false">H39+I39</f>
        <v>0</v>
      </c>
      <c r="K39" s="38" t="n">
        <f aca="false">IFERROR(ROUND(J39/30*15,2),0)</f>
        <v>0</v>
      </c>
      <c r="L39" s="38" t="n">
        <f aca="false">'Mid &amp; Assgn - B'!Z42</f>
        <v>0</v>
      </c>
      <c r="M39" s="38" t="n">
        <f aca="false">'Mid &amp; Assgn - B'!AA42</f>
        <v>0</v>
      </c>
      <c r="N39" s="38" t="n">
        <f aca="false">'Mid &amp; Assgn - B'!AB42</f>
        <v>0</v>
      </c>
      <c r="O39" s="38" t="n">
        <f aca="false">'Mid &amp; Assgn - B'!AC42</f>
        <v>0</v>
      </c>
      <c r="P39" s="38" t="n">
        <f aca="false">'Mid &amp; Assgn - B'!AD42</f>
        <v>0</v>
      </c>
      <c r="Q39" s="38" t="n">
        <f aca="false">'Mid &amp; Assgn - B'!AE42</f>
        <v>0</v>
      </c>
      <c r="R39" s="38" t="n">
        <f aca="false">IF(D39/30&gt;=0.7,3,IF(D39/30&gt;=0.5,2,IF(D39/30&gt;=0.35,1,0)))</f>
        <v>0</v>
      </c>
      <c r="S39" s="38" t="n">
        <f aca="false">IF(E39/30&gt;=0.7,3,IF(E39/30&gt;=0.5,2,IF(E39/30&gt;=0.35,1,0)))</f>
        <v>0</v>
      </c>
      <c r="T39" s="38" t="n">
        <f aca="false">IF(H39/30&gt;=0.7,3,IF(H39/30&gt;=0.5,2,IF(H39/30&gt;=0.35,1,0)))</f>
        <v>0</v>
      </c>
      <c r="U39" s="38" t="n">
        <f aca="false">IF(I39/30&gt;=0.7,3,IF(I39/30&gt;=0.5,2,IF(I39/30&gt;=0.35,1,0)))</f>
        <v>0</v>
      </c>
      <c r="V39" s="38"/>
      <c r="W39" s="38"/>
      <c r="X39" s="38"/>
      <c r="Y39" s="38"/>
      <c r="Z39" s="38" t="n">
        <f aca="false">G39+K39+L39+M39+N39+O39+P39</f>
        <v>0</v>
      </c>
      <c r="AA39" s="38" t="n">
        <f aca="false">IFERROR(AVERAGE(R39:U39),0)</f>
        <v>0</v>
      </c>
    </row>
    <row r="40" customFormat="false" ht="15" hidden="false" customHeight="true" outlineLevel="0" collapsed="false">
      <c r="A40" s="35" t="n">
        <v>27</v>
      </c>
      <c r="B40" s="35" t="n">
        <f aca="false">'Mid &amp; Assgn - B'!B43</f>
        <v>0</v>
      </c>
      <c r="C40" s="35" t="n">
        <f aca="false">'Mid &amp; Assgn - B'!C43</f>
        <v>0</v>
      </c>
      <c r="D40" s="36" t="n">
        <f aca="false">IFERROR(SUM('Mid &amp; Assgn - B'!D43:I43),0)</f>
        <v>0</v>
      </c>
      <c r="E40" s="36" t="n">
        <f aca="false">IFERROR(SUM('Mid &amp; Assgn - B'!J43:M43),0)</f>
        <v>0</v>
      </c>
      <c r="F40" s="36" t="n">
        <f aca="false">D40+E40</f>
        <v>0</v>
      </c>
      <c r="G40" s="36" t="n">
        <f aca="false">IFERROR(ROUND(F40/30*15,2),0)</f>
        <v>0</v>
      </c>
      <c r="H40" s="36" t="n">
        <f aca="false">IFERROR(SUM('Mid &amp; Assgn - B'!N43:S43),0)</f>
        <v>0</v>
      </c>
      <c r="I40" s="36" t="n">
        <f aca="false">IFERROR(SUM('Mid &amp; Assgn - B'!T43:Y43),0)</f>
        <v>0</v>
      </c>
      <c r="J40" s="36" t="n">
        <f aca="false">H40+I40</f>
        <v>0</v>
      </c>
      <c r="K40" s="36" t="n">
        <f aca="false">IFERROR(ROUND(J40/30*15,2),0)</f>
        <v>0</v>
      </c>
      <c r="L40" s="36" t="n">
        <f aca="false">'Mid &amp; Assgn - B'!Z43</f>
        <v>0</v>
      </c>
      <c r="M40" s="36" t="n">
        <f aca="false">'Mid &amp; Assgn - B'!AA43</f>
        <v>0</v>
      </c>
      <c r="N40" s="36" t="n">
        <f aca="false">'Mid &amp; Assgn - B'!AB43</f>
        <v>0</v>
      </c>
      <c r="O40" s="36" t="n">
        <f aca="false">'Mid &amp; Assgn - B'!AC43</f>
        <v>0</v>
      </c>
      <c r="P40" s="36" t="n">
        <f aca="false">'Mid &amp; Assgn - B'!AD43</f>
        <v>0</v>
      </c>
      <c r="Q40" s="36" t="n">
        <f aca="false">'Mid &amp; Assgn - B'!AE43</f>
        <v>0</v>
      </c>
      <c r="R40" s="36" t="n">
        <f aca="false">IF(D40/30&gt;=0.7,3,IF(D40/30&gt;=0.5,2,IF(D40/30&gt;=0.35,1,0)))</f>
        <v>0</v>
      </c>
      <c r="S40" s="36" t="n">
        <f aca="false">IF(E40/30&gt;=0.7,3,IF(E40/30&gt;=0.5,2,IF(E40/30&gt;=0.35,1,0)))</f>
        <v>0</v>
      </c>
      <c r="T40" s="36" t="n">
        <f aca="false">IF(H40/30&gt;=0.7,3,IF(H40/30&gt;=0.5,2,IF(H40/30&gt;=0.35,1,0)))</f>
        <v>0</v>
      </c>
      <c r="U40" s="36" t="n">
        <f aca="false">IF(I40/30&gt;=0.7,3,IF(I40/30&gt;=0.5,2,IF(I40/30&gt;=0.35,1,0)))</f>
        <v>0</v>
      </c>
      <c r="V40" s="36"/>
      <c r="W40" s="36"/>
      <c r="X40" s="36"/>
      <c r="Y40" s="36"/>
      <c r="Z40" s="36" t="n">
        <f aca="false">G40+K40+L40+M40+N40+O40+P40</f>
        <v>0</v>
      </c>
      <c r="AA40" s="36" t="n">
        <f aca="false">IFERROR(AVERAGE(R40:U40),0)</f>
        <v>0</v>
      </c>
    </row>
    <row r="41" customFormat="false" ht="15" hidden="false" customHeight="true" outlineLevel="0" collapsed="false">
      <c r="A41" s="37" t="n">
        <v>28</v>
      </c>
      <c r="B41" s="37" t="n">
        <f aca="false">'Mid &amp; Assgn - B'!B44</f>
        <v>0</v>
      </c>
      <c r="C41" s="37" t="n">
        <f aca="false">'Mid &amp; Assgn - B'!C44</f>
        <v>0</v>
      </c>
      <c r="D41" s="38" t="n">
        <f aca="false">IFERROR(SUM('Mid &amp; Assgn - B'!D44:I44),0)</f>
        <v>0</v>
      </c>
      <c r="E41" s="38" t="n">
        <f aca="false">IFERROR(SUM('Mid &amp; Assgn - B'!J44:M44),0)</f>
        <v>0</v>
      </c>
      <c r="F41" s="38" t="n">
        <f aca="false">D41+E41</f>
        <v>0</v>
      </c>
      <c r="G41" s="38" t="n">
        <f aca="false">IFERROR(ROUND(F41/30*15,2),0)</f>
        <v>0</v>
      </c>
      <c r="H41" s="38" t="n">
        <f aca="false">IFERROR(SUM('Mid &amp; Assgn - B'!N44:S44),0)</f>
        <v>0</v>
      </c>
      <c r="I41" s="38" t="n">
        <f aca="false">IFERROR(SUM('Mid &amp; Assgn - B'!T44:Y44),0)</f>
        <v>0</v>
      </c>
      <c r="J41" s="38" t="n">
        <f aca="false">H41+I41</f>
        <v>0</v>
      </c>
      <c r="K41" s="38" t="n">
        <f aca="false">IFERROR(ROUND(J41/30*15,2),0)</f>
        <v>0</v>
      </c>
      <c r="L41" s="38" t="n">
        <f aca="false">'Mid &amp; Assgn - B'!Z44</f>
        <v>0</v>
      </c>
      <c r="M41" s="38" t="n">
        <f aca="false">'Mid &amp; Assgn - B'!AA44</f>
        <v>0</v>
      </c>
      <c r="N41" s="38" t="n">
        <f aca="false">'Mid &amp; Assgn - B'!AB44</f>
        <v>0</v>
      </c>
      <c r="O41" s="38" t="n">
        <f aca="false">'Mid &amp; Assgn - B'!AC44</f>
        <v>0</v>
      </c>
      <c r="P41" s="38" t="n">
        <f aca="false">'Mid &amp; Assgn - B'!AD44</f>
        <v>0</v>
      </c>
      <c r="Q41" s="38" t="n">
        <f aca="false">'Mid &amp; Assgn - B'!AE44</f>
        <v>0</v>
      </c>
      <c r="R41" s="38" t="n">
        <f aca="false">IF(D41/30&gt;=0.7,3,IF(D41/30&gt;=0.5,2,IF(D41/30&gt;=0.35,1,0)))</f>
        <v>0</v>
      </c>
      <c r="S41" s="38" t="n">
        <f aca="false">IF(E41/30&gt;=0.7,3,IF(E41/30&gt;=0.5,2,IF(E41/30&gt;=0.35,1,0)))</f>
        <v>0</v>
      </c>
      <c r="T41" s="38" t="n">
        <f aca="false">IF(H41/30&gt;=0.7,3,IF(H41/30&gt;=0.5,2,IF(H41/30&gt;=0.35,1,0)))</f>
        <v>0</v>
      </c>
      <c r="U41" s="38" t="n">
        <f aca="false">IF(I41/30&gt;=0.7,3,IF(I41/30&gt;=0.5,2,IF(I41/30&gt;=0.35,1,0)))</f>
        <v>0</v>
      </c>
      <c r="V41" s="38"/>
      <c r="W41" s="38"/>
      <c r="X41" s="38"/>
      <c r="Y41" s="38"/>
      <c r="Z41" s="38" t="n">
        <f aca="false">G41+K41+L41+M41+N41+O41+P41</f>
        <v>0</v>
      </c>
      <c r="AA41" s="38" t="n">
        <f aca="false">IFERROR(AVERAGE(R41:U41),0)</f>
        <v>0</v>
      </c>
    </row>
    <row r="42" customFormat="false" ht="15" hidden="false" customHeight="true" outlineLevel="0" collapsed="false">
      <c r="A42" s="35" t="n">
        <v>29</v>
      </c>
      <c r="B42" s="35" t="n">
        <f aca="false">'Mid &amp; Assgn - B'!B45</f>
        <v>0</v>
      </c>
      <c r="C42" s="35" t="n">
        <f aca="false">'Mid &amp; Assgn - B'!C45</f>
        <v>0</v>
      </c>
      <c r="D42" s="36" t="n">
        <f aca="false">IFERROR(SUM('Mid &amp; Assgn - B'!D45:I45),0)</f>
        <v>0</v>
      </c>
      <c r="E42" s="36" t="n">
        <f aca="false">IFERROR(SUM('Mid &amp; Assgn - B'!J45:M45),0)</f>
        <v>0</v>
      </c>
      <c r="F42" s="36" t="n">
        <f aca="false">D42+E42</f>
        <v>0</v>
      </c>
      <c r="G42" s="36" t="n">
        <f aca="false">IFERROR(ROUND(F42/30*15,2),0)</f>
        <v>0</v>
      </c>
      <c r="H42" s="36" t="n">
        <f aca="false">IFERROR(SUM('Mid &amp; Assgn - B'!N45:S45),0)</f>
        <v>0</v>
      </c>
      <c r="I42" s="36" t="n">
        <f aca="false">IFERROR(SUM('Mid &amp; Assgn - B'!T45:Y45),0)</f>
        <v>0</v>
      </c>
      <c r="J42" s="36" t="n">
        <f aca="false">H42+I42</f>
        <v>0</v>
      </c>
      <c r="K42" s="36" t="n">
        <f aca="false">IFERROR(ROUND(J42/30*15,2),0)</f>
        <v>0</v>
      </c>
      <c r="L42" s="36" t="n">
        <f aca="false">'Mid &amp; Assgn - B'!Z45</f>
        <v>0</v>
      </c>
      <c r="M42" s="36" t="n">
        <f aca="false">'Mid &amp; Assgn - B'!AA45</f>
        <v>0</v>
      </c>
      <c r="N42" s="36" t="n">
        <f aca="false">'Mid &amp; Assgn - B'!AB45</f>
        <v>0</v>
      </c>
      <c r="O42" s="36" t="n">
        <f aca="false">'Mid &amp; Assgn - B'!AC45</f>
        <v>0</v>
      </c>
      <c r="P42" s="36" t="n">
        <f aca="false">'Mid &amp; Assgn - B'!AD45</f>
        <v>0</v>
      </c>
      <c r="Q42" s="36" t="n">
        <f aca="false">'Mid &amp; Assgn - B'!AE45</f>
        <v>0</v>
      </c>
      <c r="R42" s="36" t="n">
        <f aca="false">IF(D42/30&gt;=0.7,3,IF(D42/30&gt;=0.5,2,IF(D42/30&gt;=0.35,1,0)))</f>
        <v>0</v>
      </c>
      <c r="S42" s="36" t="n">
        <f aca="false">IF(E42/30&gt;=0.7,3,IF(E42/30&gt;=0.5,2,IF(E42/30&gt;=0.35,1,0)))</f>
        <v>0</v>
      </c>
      <c r="T42" s="36" t="n">
        <f aca="false">IF(H42/30&gt;=0.7,3,IF(H42/30&gt;=0.5,2,IF(H42/30&gt;=0.35,1,0)))</f>
        <v>0</v>
      </c>
      <c r="U42" s="36" t="n">
        <f aca="false">IF(I42/30&gt;=0.7,3,IF(I42/30&gt;=0.5,2,IF(I42/30&gt;=0.35,1,0)))</f>
        <v>0</v>
      </c>
      <c r="V42" s="36"/>
      <c r="W42" s="36"/>
      <c r="X42" s="36"/>
      <c r="Y42" s="36"/>
      <c r="Z42" s="36" t="n">
        <f aca="false">G42+K42+L42+M42+N42+O42+P42</f>
        <v>0</v>
      </c>
      <c r="AA42" s="36" t="n">
        <f aca="false">IFERROR(AVERAGE(R42:U42),0)</f>
        <v>0</v>
      </c>
    </row>
    <row r="43" customFormat="false" ht="15" hidden="false" customHeight="true" outlineLevel="0" collapsed="false">
      <c r="A43" s="37" t="n">
        <v>30</v>
      </c>
      <c r="B43" s="37" t="n">
        <f aca="false">'Mid &amp; Assgn - B'!B46</f>
        <v>0</v>
      </c>
      <c r="C43" s="37" t="n">
        <f aca="false">'Mid &amp; Assgn - B'!C46</f>
        <v>0</v>
      </c>
      <c r="D43" s="38" t="n">
        <f aca="false">IFERROR(SUM('Mid &amp; Assgn - B'!D46:I46),0)</f>
        <v>0</v>
      </c>
      <c r="E43" s="38" t="n">
        <f aca="false">IFERROR(SUM('Mid &amp; Assgn - B'!J46:M46),0)</f>
        <v>0</v>
      </c>
      <c r="F43" s="38" t="n">
        <f aca="false">D43+E43</f>
        <v>0</v>
      </c>
      <c r="G43" s="38" t="n">
        <f aca="false">IFERROR(ROUND(F43/30*15,2),0)</f>
        <v>0</v>
      </c>
      <c r="H43" s="38" t="n">
        <f aca="false">IFERROR(SUM('Mid &amp; Assgn - B'!N46:S46),0)</f>
        <v>0</v>
      </c>
      <c r="I43" s="38" t="n">
        <f aca="false">IFERROR(SUM('Mid &amp; Assgn - B'!T46:Y46),0)</f>
        <v>0</v>
      </c>
      <c r="J43" s="38" t="n">
        <f aca="false">H43+I43</f>
        <v>0</v>
      </c>
      <c r="K43" s="38" t="n">
        <f aca="false">IFERROR(ROUND(J43/30*15,2),0)</f>
        <v>0</v>
      </c>
      <c r="L43" s="38" t="n">
        <f aca="false">'Mid &amp; Assgn - B'!Z46</f>
        <v>0</v>
      </c>
      <c r="M43" s="38" t="n">
        <f aca="false">'Mid &amp; Assgn - B'!AA46</f>
        <v>0</v>
      </c>
      <c r="N43" s="38" t="n">
        <f aca="false">'Mid &amp; Assgn - B'!AB46</f>
        <v>0</v>
      </c>
      <c r="O43" s="38" t="n">
        <f aca="false">'Mid &amp; Assgn - B'!AC46</f>
        <v>0</v>
      </c>
      <c r="P43" s="38" t="n">
        <f aca="false">'Mid &amp; Assgn - B'!AD46</f>
        <v>0</v>
      </c>
      <c r="Q43" s="38" t="n">
        <f aca="false">'Mid &amp; Assgn - B'!AE46</f>
        <v>0</v>
      </c>
      <c r="R43" s="38" t="n">
        <f aca="false">IF(D43/30&gt;=0.7,3,IF(D43/30&gt;=0.5,2,IF(D43/30&gt;=0.35,1,0)))</f>
        <v>0</v>
      </c>
      <c r="S43" s="38" t="n">
        <f aca="false">IF(E43/30&gt;=0.7,3,IF(E43/30&gt;=0.5,2,IF(E43/30&gt;=0.35,1,0)))</f>
        <v>0</v>
      </c>
      <c r="T43" s="38" t="n">
        <f aca="false">IF(H43/30&gt;=0.7,3,IF(H43/30&gt;=0.5,2,IF(H43/30&gt;=0.35,1,0)))</f>
        <v>0</v>
      </c>
      <c r="U43" s="38" t="n">
        <f aca="false">IF(I43/30&gt;=0.7,3,IF(I43/30&gt;=0.5,2,IF(I43/30&gt;=0.35,1,0)))</f>
        <v>0</v>
      </c>
      <c r="V43" s="38"/>
      <c r="W43" s="38"/>
      <c r="X43" s="38"/>
      <c r="Y43" s="38"/>
      <c r="Z43" s="38" t="n">
        <f aca="false">G43+K43+L43+M43+N43+O43+P43</f>
        <v>0</v>
      </c>
      <c r="AA43" s="38" t="n">
        <f aca="false">IFERROR(AVERAGE(R43:U43),0)</f>
        <v>0</v>
      </c>
    </row>
    <row r="44" customFormat="false" ht="15" hidden="false" customHeight="true" outlineLevel="0" collapsed="false">
      <c r="A44" s="35" t="n">
        <v>31</v>
      </c>
      <c r="B44" s="35" t="n">
        <f aca="false">'Mid &amp; Assgn - B'!B47</f>
        <v>0</v>
      </c>
      <c r="C44" s="35" t="n">
        <f aca="false">'Mid &amp; Assgn - B'!C47</f>
        <v>0</v>
      </c>
      <c r="D44" s="36" t="n">
        <f aca="false">IFERROR(SUM('Mid &amp; Assgn - B'!D47:I47),0)</f>
        <v>0</v>
      </c>
      <c r="E44" s="36" t="n">
        <f aca="false">IFERROR(SUM('Mid &amp; Assgn - B'!J47:M47),0)</f>
        <v>0</v>
      </c>
      <c r="F44" s="36" t="n">
        <f aca="false">D44+E44</f>
        <v>0</v>
      </c>
      <c r="G44" s="36" t="n">
        <f aca="false">IFERROR(ROUND(F44/30*15,2),0)</f>
        <v>0</v>
      </c>
      <c r="H44" s="36" t="n">
        <f aca="false">IFERROR(SUM('Mid &amp; Assgn - B'!N47:S47),0)</f>
        <v>0</v>
      </c>
      <c r="I44" s="36" t="n">
        <f aca="false">IFERROR(SUM('Mid &amp; Assgn - B'!T47:Y47),0)</f>
        <v>0</v>
      </c>
      <c r="J44" s="36" t="n">
        <f aca="false">H44+I44</f>
        <v>0</v>
      </c>
      <c r="K44" s="36" t="n">
        <f aca="false">IFERROR(ROUND(J44/30*15,2),0)</f>
        <v>0</v>
      </c>
      <c r="L44" s="36" t="n">
        <f aca="false">'Mid &amp; Assgn - B'!Z47</f>
        <v>0</v>
      </c>
      <c r="M44" s="36" t="n">
        <f aca="false">'Mid &amp; Assgn - B'!AA47</f>
        <v>0</v>
      </c>
      <c r="N44" s="36" t="n">
        <f aca="false">'Mid &amp; Assgn - B'!AB47</f>
        <v>0</v>
      </c>
      <c r="O44" s="36" t="n">
        <f aca="false">'Mid &amp; Assgn - B'!AC47</f>
        <v>0</v>
      </c>
      <c r="P44" s="36" t="n">
        <f aca="false">'Mid &amp; Assgn - B'!AD47</f>
        <v>0</v>
      </c>
      <c r="Q44" s="36" t="n">
        <f aca="false">'Mid &amp; Assgn - B'!AE47</f>
        <v>0</v>
      </c>
      <c r="R44" s="36" t="n">
        <f aca="false">IF(D44/30&gt;=0.7,3,IF(D44/30&gt;=0.5,2,IF(D44/30&gt;=0.35,1,0)))</f>
        <v>0</v>
      </c>
      <c r="S44" s="36" t="n">
        <f aca="false">IF(E44/30&gt;=0.7,3,IF(E44/30&gt;=0.5,2,IF(E44/30&gt;=0.35,1,0)))</f>
        <v>0</v>
      </c>
      <c r="T44" s="36" t="n">
        <f aca="false">IF(H44/30&gt;=0.7,3,IF(H44/30&gt;=0.5,2,IF(H44/30&gt;=0.35,1,0)))</f>
        <v>0</v>
      </c>
      <c r="U44" s="36" t="n">
        <f aca="false">IF(I44/30&gt;=0.7,3,IF(I44/30&gt;=0.5,2,IF(I44/30&gt;=0.35,1,0)))</f>
        <v>0</v>
      </c>
      <c r="V44" s="36"/>
      <c r="W44" s="36"/>
      <c r="X44" s="36"/>
      <c r="Y44" s="36"/>
      <c r="Z44" s="36" t="n">
        <f aca="false">G44+K44+L44+M44+N44+O44+P44</f>
        <v>0</v>
      </c>
      <c r="AA44" s="36" t="n">
        <f aca="false">IFERROR(AVERAGE(R44:U44),0)</f>
        <v>0</v>
      </c>
    </row>
    <row r="45" customFormat="false" ht="15" hidden="false" customHeight="true" outlineLevel="0" collapsed="false">
      <c r="A45" s="37" t="n">
        <v>32</v>
      </c>
      <c r="B45" s="37" t="n">
        <f aca="false">'Mid &amp; Assgn - B'!B48</f>
        <v>0</v>
      </c>
      <c r="C45" s="37" t="n">
        <f aca="false">'Mid &amp; Assgn - B'!C48</f>
        <v>0</v>
      </c>
      <c r="D45" s="38" t="n">
        <f aca="false">IFERROR(SUM('Mid &amp; Assgn - B'!D48:I48),0)</f>
        <v>0</v>
      </c>
      <c r="E45" s="38" t="n">
        <f aca="false">IFERROR(SUM('Mid &amp; Assgn - B'!J48:M48),0)</f>
        <v>0</v>
      </c>
      <c r="F45" s="38" t="n">
        <f aca="false">D45+E45</f>
        <v>0</v>
      </c>
      <c r="G45" s="38" t="n">
        <f aca="false">IFERROR(ROUND(F45/30*15,2),0)</f>
        <v>0</v>
      </c>
      <c r="H45" s="38" t="n">
        <f aca="false">IFERROR(SUM('Mid &amp; Assgn - B'!N48:S48),0)</f>
        <v>0</v>
      </c>
      <c r="I45" s="38" t="n">
        <f aca="false">IFERROR(SUM('Mid &amp; Assgn - B'!T48:Y48),0)</f>
        <v>0</v>
      </c>
      <c r="J45" s="38" t="n">
        <f aca="false">H45+I45</f>
        <v>0</v>
      </c>
      <c r="K45" s="38" t="n">
        <f aca="false">IFERROR(ROUND(J45/30*15,2),0)</f>
        <v>0</v>
      </c>
      <c r="L45" s="38" t="n">
        <f aca="false">'Mid &amp; Assgn - B'!Z48</f>
        <v>0</v>
      </c>
      <c r="M45" s="38" t="n">
        <f aca="false">'Mid &amp; Assgn - B'!AA48</f>
        <v>0</v>
      </c>
      <c r="N45" s="38" t="n">
        <f aca="false">'Mid &amp; Assgn - B'!AB48</f>
        <v>0</v>
      </c>
      <c r="O45" s="38" t="n">
        <f aca="false">'Mid &amp; Assgn - B'!AC48</f>
        <v>0</v>
      </c>
      <c r="P45" s="38" t="n">
        <f aca="false">'Mid &amp; Assgn - B'!AD48</f>
        <v>0</v>
      </c>
      <c r="Q45" s="38" t="n">
        <f aca="false">'Mid &amp; Assgn - B'!AE48</f>
        <v>0</v>
      </c>
      <c r="R45" s="38" t="n">
        <f aca="false">IF(D45/30&gt;=0.7,3,IF(D45/30&gt;=0.5,2,IF(D45/30&gt;=0.35,1,0)))</f>
        <v>0</v>
      </c>
      <c r="S45" s="38" t="n">
        <f aca="false">IF(E45/30&gt;=0.7,3,IF(E45/30&gt;=0.5,2,IF(E45/30&gt;=0.35,1,0)))</f>
        <v>0</v>
      </c>
      <c r="T45" s="38" t="n">
        <f aca="false">IF(H45/30&gt;=0.7,3,IF(H45/30&gt;=0.5,2,IF(H45/30&gt;=0.35,1,0)))</f>
        <v>0</v>
      </c>
      <c r="U45" s="38" t="n">
        <f aca="false">IF(I45/30&gt;=0.7,3,IF(I45/30&gt;=0.5,2,IF(I45/30&gt;=0.35,1,0)))</f>
        <v>0</v>
      </c>
      <c r="V45" s="38"/>
      <c r="W45" s="38"/>
      <c r="X45" s="38"/>
      <c r="Y45" s="38"/>
      <c r="Z45" s="38" t="n">
        <f aca="false">G45+K45+L45+M45+N45+O45+P45</f>
        <v>0</v>
      </c>
      <c r="AA45" s="38" t="n">
        <f aca="false">IFERROR(AVERAGE(R45:U45),0)</f>
        <v>0</v>
      </c>
    </row>
    <row r="46" customFormat="false" ht="15" hidden="false" customHeight="true" outlineLevel="0" collapsed="false">
      <c r="A46" s="35" t="n">
        <v>33</v>
      </c>
      <c r="B46" s="35" t="n">
        <f aca="false">'Mid &amp; Assgn - B'!B49</f>
        <v>0</v>
      </c>
      <c r="C46" s="35" t="n">
        <f aca="false">'Mid &amp; Assgn - B'!C49</f>
        <v>0</v>
      </c>
      <c r="D46" s="36" t="n">
        <f aca="false">IFERROR(SUM('Mid &amp; Assgn - B'!D49:I49),0)</f>
        <v>0</v>
      </c>
      <c r="E46" s="36" t="n">
        <f aca="false">IFERROR(SUM('Mid &amp; Assgn - B'!J49:M49),0)</f>
        <v>0</v>
      </c>
      <c r="F46" s="36" t="n">
        <f aca="false">D46+E46</f>
        <v>0</v>
      </c>
      <c r="G46" s="36" t="n">
        <f aca="false">IFERROR(ROUND(F46/30*15,2),0)</f>
        <v>0</v>
      </c>
      <c r="H46" s="36" t="n">
        <f aca="false">IFERROR(SUM('Mid &amp; Assgn - B'!N49:S49),0)</f>
        <v>0</v>
      </c>
      <c r="I46" s="36" t="n">
        <f aca="false">IFERROR(SUM('Mid &amp; Assgn - B'!T49:Y49),0)</f>
        <v>0</v>
      </c>
      <c r="J46" s="36" t="n">
        <f aca="false">H46+I46</f>
        <v>0</v>
      </c>
      <c r="K46" s="36" t="n">
        <f aca="false">IFERROR(ROUND(J46/30*15,2),0)</f>
        <v>0</v>
      </c>
      <c r="L46" s="36" t="n">
        <f aca="false">'Mid &amp; Assgn - B'!Z49</f>
        <v>0</v>
      </c>
      <c r="M46" s="36" t="n">
        <f aca="false">'Mid &amp; Assgn - B'!AA49</f>
        <v>0</v>
      </c>
      <c r="N46" s="36" t="n">
        <f aca="false">'Mid &amp; Assgn - B'!AB49</f>
        <v>0</v>
      </c>
      <c r="O46" s="36" t="n">
        <f aca="false">'Mid &amp; Assgn - B'!AC49</f>
        <v>0</v>
      </c>
      <c r="P46" s="36" t="n">
        <f aca="false">'Mid &amp; Assgn - B'!AD49</f>
        <v>0</v>
      </c>
      <c r="Q46" s="36" t="n">
        <f aca="false">'Mid &amp; Assgn - B'!AE49</f>
        <v>0</v>
      </c>
      <c r="R46" s="36" t="n">
        <f aca="false">IF(D46/30&gt;=0.7,3,IF(D46/30&gt;=0.5,2,IF(D46/30&gt;=0.35,1,0)))</f>
        <v>0</v>
      </c>
      <c r="S46" s="36" t="n">
        <f aca="false">IF(E46/30&gt;=0.7,3,IF(E46/30&gt;=0.5,2,IF(E46/30&gt;=0.35,1,0)))</f>
        <v>0</v>
      </c>
      <c r="T46" s="36" t="n">
        <f aca="false">IF(H46/30&gt;=0.7,3,IF(H46/30&gt;=0.5,2,IF(H46/30&gt;=0.35,1,0)))</f>
        <v>0</v>
      </c>
      <c r="U46" s="36" t="n">
        <f aca="false">IF(I46/30&gt;=0.7,3,IF(I46/30&gt;=0.5,2,IF(I46/30&gt;=0.35,1,0)))</f>
        <v>0</v>
      </c>
      <c r="V46" s="36"/>
      <c r="W46" s="36"/>
      <c r="X46" s="36"/>
      <c r="Y46" s="36"/>
      <c r="Z46" s="36" t="n">
        <f aca="false">G46+K46+L46+M46+N46+O46+P46</f>
        <v>0</v>
      </c>
      <c r="AA46" s="36" t="n">
        <f aca="false">IFERROR(AVERAGE(R46:U46),0)</f>
        <v>0</v>
      </c>
    </row>
    <row r="47" customFormat="false" ht="15" hidden="false" customHeight="true" outlineLevel="0" collapsed="false">
      <c r="A47" s="37" t="n">
        <v>34</v>
      </c>
      <c r="B47" s="37" t="n">
        <f aca="false">'Mid &amp; Assgn - B'!B50</f>
        <v>0</v>
      </c>
      <c r="C47" s="37" t="n">
        <f aca="false">'Mid &amp; Assgn - B'!C50</f>
        <v>0</v>
      </c>
      <c r="D47" s="38" t="n">
        <f aca="false">IFERROR(SUM('Mid &amp; Assgn - B'!D50:I50),0)</f>
        <v>0</v>
      </c>
      <c r="E47" s="38" t="n">
        <f aca="false">IFERROR(SUM('Mid &amp; Assgn - B'!J50:M50),0)</f>
        <v>0</v>
      </c>
      <c r="F47" s="38" t="n">
        <f aca="false">D47+E47</f>
        <v>0</v>
      </c>
      <c r="G47" s="38" t="n">
        <f aca="false">IFERROR(ROUND(F47/30*15,2),0)</f>
        <v>0</v>
      </c>
      <c r="H47" s="38" t="n">
        <f aca="false">IFERROR(SUM('Mid &amp; Assgn - B'!N50:S50),0)</f>
        <v>0</v>
      </c>
      <c r="I47" s="38" t="n">
        <f aca="false">IFERROR(SUM('Mid &amp; Assgn - B'!T50:Y50),0)</f>
        <v>0</v>
      </c>
      <c r="J47" s="38" t="n">
        <f aca="false">H47+I47</f>
        <v>0</v>
      </c>
      <c r="K47" s="38" t="n">
        <f aca="false">IFERROR(ROUND(J47/30*15,2),0)</f>
        <v>0</v>
      </c>
      <c r="L47" s="38" t="n">
        <f aca="false">'Mid &amp; Assgn - B'!Z50</f>
        <v>0</v>
      </c>
      <c r="M47" s="38" t="n">
        <f aca="false">'Mid &amp; Assgn - B'!AA50</f>
        <v>0</v>
      </c>
      <c r="N47" s="38" t="n">
        <f aca="false">'Mid &amp; Assgn - B'!AB50</f>
        <v>0</v>
      </c>
      <c r="O47" s="38" t="n">
        <f aca="false">'Mid &amp; Assgn - B'!AC50</f>
        <v>0</v>
      </c>
      <c r="P47" s="38" t="n">
        <f aca="false">'Mid &amp; Assgn - B'!AD50</f>
        <v>0</v>
      </c>
      <c r="Q47" s="38" t="n">
        <f aca="false">'Mid &amp; Assgn - B'!AE50</f>
        <v>0</v>
      </c>
      <c r="R47" s="38" t="n">
        <f aca="false">IF(D47/30&gt;=0.7,3,IF(D47/30&gt;=0.5,2,IF(D47/30&gt;=0.35,1,0)))</f>
        <v>0</v>
      </c>
      <c r="S47" s="38" t="n">
        <f aca="false">IF(E47/30&gt;=0.7,3,IF(E47/30&gt;=0.5,2,IF(E47/30&gt;=0.35,1,0)))</f>
        <v>0</v>
      </c>
      <c r="T47" s="38" t="n">
        <f aca="false">IF(H47/30&gt;=0.7,3,IF(H47/30&gt;=0.5,2,IF(H47/30&gt;=0.35,1,0)))</f>
        <v>0</v>
      </c>
      <c r="U47" s="38" t="n">
        <f aca="false">IF(I47/30&gt;=0.7,3,IF(I47/30&gt;=0.5,2,IF(I47/30&gt;=0.35,1,0)))</f>
        <v>0</v>
      </c>
      <c r="V47" s="38"/>
      <c r="W47" s="38"/>
      <c r="X47" s="38"/>
      <c r="Y47" s="38"/>
      <c r="Z47" s="38" t="n">
        <f aca="false">G47+K47+L47+M47+N47+O47+P47</f>
        <v>0</v>
      </c>
      <c r="AA47" s="38" t="n">
        <f aca="false">IFERROR(AVERAGE(R47:U47),0)</f>
        <v>0</v>
      </c>
    </row>
    <row r="48" customFormat="false" ht="15" hidden="false" customHeight="true" outlineLevel="0" collapsed="false">
      <c r="A48" s="35" t="n">
        <v>35</v>
      </c>
      <c r="B48" s="35" t="n">
        <f aca="false">'Mid &amp; Assgn - B'!B51</f>
        <v>0</v>
      </c>
      <c r="C48" s="35" t="n">
        <f aca="false">'Mid &amp; Assgn - B'!C51</f>
        <v>0</v>
      </c>
      <c r="D48" s="36" t="n">
        <f aca="false">IFERROR(SUM('Mid &amp; Assgn - B'!D51:I51),0)</f>
        <v>0</v>
      </c>
      <c r="E48" s="36" t="n">
        <f aca="false">IFERROR(SUM('Mid &amp; Assgn - B'!J51:M51),0)</f>
        <v>0</v>
      </c>
      <c r="F48" s="36" t="n">
        <f aca="false">D48+E48</f>
        <v>0</v>
      </c>
      <c r="G48" s="36" t="n">
        <f aca="false">IFERROR(ROUND(F48/30*15,2),0)</f>
        <v>0</v>
      </c>
      <c r="H48" s="36" t="n">
        <f aca="false">IFERROR(SUM('Mid &amp; Assgn - B'!N51:S51),0)</f>
        <v>0</v>
      </c>
      <c r="I48" s="36" t="n">
        <f aca="false">IFERROR(SUM('Mid &amp; Assgn - B'!T51:Y51),0)</f>
        <v>0</v>
      </c>
      <c r="J48" s="36" t="n">
        <f aca="false">H48+I48</f>
        <v>0</v>
      </c>
      <c r="K48" s="36" t="n">
        <f aca="false">IFERROR(ROUND(J48/30*15,2),0)</f>
        <v>0</v>
      </c>
      <c r="L48" s="36" t="n">
        <f aca="false">'Mid &amp; Assgn - B'!Z51</f>
        <v>0</v>
      </c>
      <c r="M48" s="36" t="n">
        <f aca="false">'Mid &amp; Assgn - B'!AA51</f>
        <v>0</v>
      </c>
      <c r="N48" s="36" t="n">
        <f aca="false">'Mid &amp; Assgn - B'!AB51</f>
        <v>0</v>
      </c>
      <c r="O48" s="36" t="n">
        <f aca="false">'Mid &amp; Assgn - B'!AC51</f>
        <v>0</v>
      </c>
      <c r="P48" s="36" t="n">
        <f aca="false">'Mid &amp; Assgn - B'!AD51</f>
        <v>0</v>
      </c>
      <c r="Q48" s="36" t="n">
        <f aca="false">'Mid &amp; Assgn - B'!AE51</f>
        <v>0</v>
      </c>
      <c r="R48" s="36" t="n">
        <f aca="false">IF(D48/30&gt;=0.7,3,IF(D48/30&gt;=0.5,2,IF(D48/30&gt;=0.35,1,0)))</f>
        <v>0</v>
      </c>
      <c r="S48" s="36" t="n">
        <f aca="false">IF(E48/30&gt;=0.7,3,IF(E48/30&gt;=0.5,2,IF(E48/30&gt;=0.35,1,0)))</f>
        <v>0</v>
      </c>
      <c r="T48" s="36" t="n">
        <f aca="false">IF(H48/30&gt;=0.7,3,IF(H48/30&gt;=0.5,2,IF(H48/30&gt;=0.35,1,0)))</f>
        <v>0</v>
      </c>
      <c r="U48" s="36" t="n">
        <f aca="false">IF(I48/30&gt;=0.7,3,IF(I48/30&gt;=0.5,2,IF(I48/30&gt;=0.35,1,0)))</f>
        <v>0</v>
      </c>
      <c r="V48" s="36"/>
      <c r="W48" s="36"/>
      <c r="X48" s="36"/>
      <c r="Y48" s="36"/>
      <c r="Z48" s="36" t="n">
        <f aca="false">G48+K48+L48+M48+N48+O48+P48</f>
        <v>0</v>
      </c>
      <c r="AA48" s="36" t="n">
        <f aca="false">IFERROR(AVERAGE(R48:U48),0)</f>
        <v>0</v>
      </c>
    </row>
    <row r="49" customFormat="false" ht="15" hidden="false" customHeight="true" outlineLevel="0" collapsed="false">
      <c r="A49" s="37" t="n">
        <v>36</v>
      </c>
      <c r="B49" s="37" t="n">
        <f aca="false">'Mid &amp; Assgn - B'!B52</f>
        <v>0</v>
      </c>
      <c r="C49" s="37" t="n">
        <f aca="false">'Mid &amp; Assgn - B'!C52</f>
        <v>0</v>
      </c>
      <c r="D49" s="38" t="n">
        <f aca="false">IFERROR(SUM('Mid &amp; Assgn - B'!D52:I52),0)</f>
        <v>0</v>
      </c>
      <c r="E49" s="38" t="n">
        <f aca="false">IFERROR(SUM('Mid &amp; Assgn - B'!J52:M52),0)</f>
        <v>0</v>
      </c>
      <c r="F49" s="38" t="n">
        <f aca="false">D49+E49</f>
        <v>0</v>
      </c>
      <c r="G49" s="38" t="n">
        <f aca="false">IFERROR(ROUND(F49/30*15,2),0)</f>
        <v>0</v>
      </c>
      <c r="H49" s="38" t="n">
        <f aca="false">IFERROR(SUM('Mid &amp; Assgn - B'!N52:S52),0)</f>
        <v>0</v>
      </c>
      <c r="I49" s="38" t="n">
        <f aca="false">IFERROR(SUM('Mid &amp; Assgn - B'!T52:Y52),0)</f>
        <v>0</v>
      </c>
      <c r="J49" s="38" t="n">
        <f aca="false">H49+I49</f>
        <v>0</v>
      </c>
      <c r="K49" s="38" t="n">
        <f aca="false">IFERROR(ROUND(J49/30*15,2),0)</f>
        <v>0</v>
      </c>
      <c r="L49" s="38" t="n">
        <f aca="false">'Mid &amp; Assgn - B'!Z52</f>
        <v>0</v>
      </c>
      <c r="M49" s="38" t="n">
        <f aca="false">'Mid &amp; Assgn - B'!AA52</f>
        <v>0</v>
      </c>
      <c r="N49" s="38" t="n">
        <f aca="false">'Mid &amp; Assgn - B'!AB52</f>
        <v>0</v>
      </c>
      <c r="O49" s="38" t="n">
        <f aca="false">'Mid &amp; Assgn - B'!AC52</f>
        <v>0</v>
      </c>
      <c r="P49" s="38" t="n">
        <f aca="false">'Mid &amp; Assgn - B'!AD52</f>
        <v>0</v>
      </c>
      <c r="Q49" s="38" t="n">
        <f aca="false">'Mid &amp; Assgn - B'!AE52</f>
        <v>0</v>
      </c>
      <c r="R49" s="38" t="n">
        <f aca="false">IF(D49/30&gt;=0.7,3,IF(D49/30&gt;=0.5,2,IF(D49/30&gt;=0.35,1,0)))</f>
        <v>0</v>
      </c>
      <c r="S49" s="38" t="n">
        <f aca="false">IF(E49/30&gt;=0.7,3,IF(E49/30&gt;=0.5,2,IF(E49/30&gt;=0.35,1,0)))</f>
        <v>0</v>
      </c>
      <c r="T49" s="38" t="n">
        <f aca="false">IF(H49/30&gt;=0.7,3,IF(H49/30&gt;=0.5,2,IF(H49/30&gt;=0.35,1,0)))</f>
        <v>0</v>
      </c>
      <c r="U49" s="38" t="n">
        <f aca="false">IF(I49/30&gt;=0.7,3,IF(I49/30&gt;=0.5,2,IF(I49/30&gt;=0.35,1,0)))</f>
        <v>0</v>
      </c>
      <c r="V49" s="38"/>
      <c r="W49" s="38"/>
      <c r="X49" s="38"/>
      <c r="Y49" s="38"/>
      <c r="Z49" s="38" t="n">
        <f aca="false">G49+K49+L49+M49+N49+O49+P49</f>
        <v>0</v>
      </c>
      <c r="AA49" s="38" t="n">
        <f aca="false">IFERROR(AVERAGE(R49:U49),0)</f>
        <v>0</v>
      </c>
    </row>
    <row r="50" customFormat="false" ht="15" hidden="false" customHeight="true" outlineLevel="0" collapsed="false">
      <c r="A50" s="35" t="n">
        <v>37</v>
      </c>
      <c r="B50" s="35" t="n">
        <f aca="false">'Mid &amp; Assgn - B'!B53</f>
        <v>0</v>
      </c>
      <c r="C50" s="35" t="n">
        <f aca="false">'Mid &amp; Assgn - B'!C53</f>
        <v>0</v>
      </c>
      <c r="D50" s="36" t="n">
        <f aca="false">IFERROR(SUM('Mid &amp; Assgn - B'!D53:I53),0)</f>
        <v>0</v>
      </c>
      <c r="E50" s="36" t="n">
        <f aca="false">IFERROR(SUM('Mid &amp; Assgn - B'!J53:M53),0)</f>
        <v>0</v>
      </c>
      <c r="F50" s="36" t="n">
        <f aca="false">D50+E50</f>
        <v>0</v>
      </c>
      <c r="G50" s="36" t="n">
        <f aca="false">IFERROR(ROUND(F50/30*15,2),0)</f>
        <v>0</v>
      </c>
      <c r="H50" s="36" t="n">
        <f aca="false">IFERROR(SUM('Mid &amp; Assgn - B'!N53:S53),0)</f>
        <v>0</v>
      </c>
      <c r="I50" s="36" t="n">
        <f aca="false">IFERROR(SUM('Mid &amp; Assgn - B'!T53:Y53),0)</f>
        <v>0</v>
      </c>
      <c r="J50" s="36" t="n">
        <f aca="false">H50+I50</f>
        <v>0</v>
      </c>
      <c r="K50" s="36" t="n">
        <f aca="false">IFERROR(ROUND(J50/30*15,2),0)</f>
        <v>0</v>
      </c>
      <c r="L50" s="36" t="n">
        <f aca="false">'Mid &amp; Assgn - B'!Z53</f>
        <v>0</v>
      </c>
      <c r="M50" s="36" t="n">
        <f aca="false">'Mid &amp; Assgn - B'!AA53</f>
        <v>0</v>
      </c>
      <c r="N50" s="36" t="n">
        <f aca="false">'Mid &amp; Assgn - B'!AB53</f>
        <v>0</v>
      </c>
      <c r="O50" s="36" t="n">
        <f aca="false">'Mid &amp; Assgn - B'!AC53</f>
        <v>0</v>
      </c>
      <c r="P50" s="36" t="n">
        <f aca="false">'Mid &amp; Assgn - B'!AD53</f>
        <v>0</v>
      </c>
      <c r="Q50" s="36" t="n">
        <f aca="false">'Mid &amp; Assgn - B'!AE53</f>
        <v>0</v>
      </c>
      <c r="R50" s="36" t="n">
        <f aca="false">IF(D50/30&gt;=0.7,3,IF(D50/30&gt;=0.5,2,IF(D50/30&gt;=0.35,1,0)))</f>
        <v>0</v>
      </c>
      <c r="S50" s="36" t="n">
        <f aca="false">IF(E50/30&gt;=0.7,3,IF(E50/30&gt;=0.5,2,IF(E50/30&gt;=0.35,1,0)))</f>
        <v>0</v>
      </c>
      <c r="T50" s="36" t="n">
        <f aca="false">IF(H50/30&gt;=0.7,3,IF(H50/30&gt;=0.5,2,IF(H50/30&gt;=0.35,1,0)))</f>
        <v>0</v>
      </c>
      <c r="U50" s="36" t="n">
        <f aca="false">IF(I50/30&gt;=0.7,3,IF(I50/30&gt;=0.5,2,IF(I50/30&gt;=0.35,1,0)))</f>
        <v>0</v>
      </c>
      <c r="V50" s="36"/>
      <c r="W50" s="36"/>
      <c r="X50" s="36"/>
      <c r="Y50" s="36"/>
      <c r="Z50" s="36" t="n">
        <f aca="false">G50+K50+L50+M50+N50+O50+P50</f>
        <v>0</v>
      </c>
      <c r="AA50" s="36" t="n">
        <f aca="false">IFERROR(AVERAGE(R50:U50),0)</f>
        <v>0</v>
      </c>
    </row>
    <row r="51" customFormat="false" ht="15" hidden="false" customHeight="true" outlineLevel="0" collapsed="false">
      <c r="A51" s="37" t="n">
        <v>38</v>
      </c>
      <c r="B51" s="37" t="n">
        <f aca="false">'Mid &amp; Assgn - B'!B54</f>
        <v>0</v>
      </c>
      <c r="C51" s="37" t="n">
        <f aca="false">'Mid &amp; Assgn - B'!C54</f>
        <v>0</v>
      </c>
      <c r="D51" s="38" t="n">
        <f aca="false">IFERROR(SUM('Mid &amp; Assgn - B'!D54:I54),0)</f>
        <v>0</v>
      </c>
      <c r="E51" s="38" t="n">
        <f aca="false">IFERROR(SUM('Mid &amp; Assgn - B'!J54:M54),0)</f>
        <v>0</v>
      </c>
      <c r="F51" s="38" t="n">
        <f aca="false">D51+E51</f>
        <v>0</v>
      </c>
      <c r="G51" s="38" t="n">
        <f aca="false">IFERROR(ROUND(F51/30*15,2),0)</f>
        <v>0</v>
      </c>
      <c r="H51" s="38" t="n">
        <f aca="false">IFERROR(SUM('Mid &amp; Assgn - B'!N54:S54),0)</f>
        <v>0</v>
      </c>
      <c r="I51" s="38" t="n">
        <f aca="false">IFERROR(SUM('Mid &amp; Assgn - B'!T54:Y54),0)</f>
        <v>0</v>
      </c>
      <c r="J51" s="38" t="n">
        <f aca="false">H51+I51</f>
        <v>0</v>
      </c>
      <c r="K51" s="38" t="n">
        <f aca="false">IFERROR(ROUND(J51/30*15,2),0)</f>
        <v>0</v>
      </c>
      <c r="L51" s="38" t="n">
        <f aca="false">'Mid &amp; Assgn - B'!Z54</f>
        <v>0</v>
      </c>
      <c r="M51" s="38" t="n">
        <f aca="false">'Mid &amp; Assgn - B'!AA54</f>
        <v>0</v>
      </c>
      <c r="N51" s="38" t="n">
        <f aca="false">'Mid &amp; Assgn - B'!AB54</f>
        <v>0</v>
      </c>
      <c r="O51" s="38" t="n">
        <f aca="false">'Mid &amp; Assgn - B'!AC54</f>
        <v>0</v>
      </c>
      <c r="P51" s="38" t="n">
        <f aca="false">'Mid &amp; Assgn - B'!AD54</f>
        <v>0</v>
      </c>
      <c r="Q51" s="38" t="n">
        <f aca="false">'Mid &amp; Assgn - B'!AE54</f>
        <v>0</v>
      </c>
      <c r="R51" s="38" t="n">
        <f aca="false">IF(D51/30&gt;=0.7,3,IF(D51/30&gt;=0.5,2,IF(D51/30&gt;=0.35,1,0)))</f>
        <v>0</v>
      </c>
      <c r="S51" s="38" t="n">
        <f aca="false">IF(E51/30&gt;=0.7,3,IF(E51/30&gt;=0.5,2,IF(E51/30&gt;=0.35,1,0)))</f>
        <v>0</v>
      </c>
      <c r="T51" s="38" t="n">
        <f aca="false">IF(H51/30&gt;=0.7,3,IF(H51/30&gt;=0.5,2,IF(H51/30&gt;=0.35,1,0)))</f>
        <v>0</v>
      </c>
      <c r="U51" s="38" t="n">
        <f aca="false">IF(I51/30&gt;=0.7,3,IF(I51/30&gt;=0.5,2,IF(I51/30&gt;=0.35,1,0)))</f>
        <v>0</v>
      </c>
      <c r="V51" s="38"/>
      <c r="W51" s="38"/>
      <c r="X51" s="38"/>
      <c r="Y51" s="38"/>
      <c r="Z51" s="38" t="n">
        <f aca="false">G51+K51+L51+M51+N51+O51+P51</f>
        <v>0</v>
      </c>
      <c r="AA51" s="38" t="n">
        <f aca="false">IFERROR(AVERAGE(R51:U51),0)</f>
        <v>0</v>
      </c>
    </row>
    <row r="52" customFormat="false" ht="15" hidden="false" customHeight="true" outlineLevel="0" collapsed="false">
      <c r="A52" s="35" t="n">
        <v>39</v>
      </c>
      <c r="B52" s="35" t="n">
        <f aca="false">'Mid &amp; Assgn - B'!B55</f>
        <v>0</v>
      </c>
      <c r="C52" s="35" t="n">
        <f aca="false">'Mid &amp; Assgn - B'!C55</f>
        <v>0</v>
      </c>
      <c r="D52" s="36" t="n">
        <f aca="false">IFERROR(SUM('Mid &amp; Assgn - B'!D55:I55),0)</f>
        <v>0</v>
      </c>
      <c r="E52" s="36" t="n">
        <f aca="false">IFERROR(SUM('Mid &amp; Assgn - B'!J55:M55),0)</f>
        <v>0</v>
      </c>
      <c r="F52" s="36" t="n">
        <f aca="false">D52+E52</f>
        <v>0</v>
      </c>
      <c r="G52" s="36" t="n">
        <f aca="false">IFERROR(ROUND(F52/30*15,2),0)</f>
        <v>0</v>
      </c>
      <c r="H52" s="36" t="n">
        <f aca="false">IFERROR(SUM('Mid &amp; Assgn - B'!N55:S55),0)</f>
        <v>0</v>
      </c>
      <c r="I52" s="36" t="n">
        <f aca="false">IFERROR(SUM('Mid &amp; Assgn - B'!T55:Y55),0)</f>
        <v>0</v>
      </c>
      <c r="J52" s="36" t="n">
        <f aca="false">H52+I52</f>
        <v>0</v>
      </c>
      <c r="K52" s="36" t="n">
        <f aca="false">IFERROR(ROUND(J52/30*15,2),0)</f>
        <v>0</v>
      </c>
      <c r="L52" s="36" t="n">
        <f aca="false">'Mid &amp; Assgn - B'!Z55</f>
        <v>0</v>
      </c>
      <c r="M52" s="36" t="n">
        <f aca="false">'Mid &amp; Assgn - B'!AA55</f>
        <v>0</v>
      </c>
      <c r="N52" s="36" t="n">
        <f aca="false">'Mid &amp; Assgn - B'!AB55</f>
        <v>0</v>
      </c>
      <c r="O52" s="36" t="n">
        <f aca="false">'Mid &amp; Assgn - B'!AC55</f>
        <v>0</v>
      </c>
      <c r="P52" s="36" t="n">
        <f aca="false">'Mid &amp; Assgn - B'!AD55</f>
        <v>0</v>
      </c>
      <c r="Q52" s="36" t="n">
        <f aca="false">'Mid &amp; Assgn - B'!AE55</f>
        <v>0</v>
      </c>
      <c r="R52" s="36" t="n">
        <f aca="false">IF(D52/30&gt;=0.7,3,IF(D52/30&gt;=0.5,2,IF(D52/30&gt;=0.35,1,0)))</f>
        <v>0</v>
      </c>
      <c r="S52" s="36" t="n">
        <f aca="false">IF(E52/30&gt;=0.7,3,IF(E52/30&gt;=0.5,2,IF(E52/30&gt;=0.35,1,0)))</f>
        <v>0</v>
      </c>
      <c r="T52" s="36" t="n">
        <f aca="false">IF(H52/30&gt;=0.7,3,IF(H52/30&gt;=0.5,2,IF(H52/30&gt;=0.35,1,0)))</f>
        <v>0</v>
      </c>
      <c r="U52" s="36" t="n">
        <f aca="false">IF(I52/30&gt;=0.7,3,IF(I52/30&gt;=0.5,2,IF(I52/30&gt;=0.35,1,0)))</f>
        <v>0</v>
      </c>
      <c r="V52" s="36"/>
      <c r="W52" s="36"/>
      <c r="X52" s="36"/>
      <c r="Y52" s="36"/>
      <c r="Z52" s="36" t="n">
        <f aca="false">G52+K52+L52+M52+N52+O52+P52</f>
        <v>0</v>
      </c>
      <c r="AA52" s="36" t="n">
        <f aca="false">IFERROR(AVERAGE(R52:U52),0)</f>
        <v>0</v>
      </c>
    </row>
    <row r="53" customFormat="false" ht="15" hidden="false" customHeight="true" outlineLevel="0" collapsed="false">
      <c r="A53" s="37" t="n">
        <v>40</v>
      </c>
      <c r="B53" s="37" t="n">
        <f aca="false">'Mid &amp; Assgn - B'!B56</f>
        <v>0</v>
      </c>
      <c r="C53" s="37" t="n">
        <f aca="false">'Mid &amp; Assgn - B'!C56</f>
        <v>0</v>
      </c>
      <c r="D53" s="38" t="n">
        <f aca="false">IFERROR(SUM('Mid &amp; Assgn - B'!D56:I56),0)</f>
        <v>0</v>
      </c>
      <c r="E53" s="38" t="n">
        <f aca="false">IFERROR(SUM('Mid &amp; Assgn - B'!J56:M56),0)</f>
        <v>0</v>
      </c>
      <c r="F53" s="38" t="n">
        <f aca="false">D53+E53</f>
        <v>0</v>
      </c>
      <c r="G53" s="38" t="n">
        <f aca="false">IFERROR(ROUND(F53/30*15,2),0)</f>
        <v>0</v>
      </c>
      <c r="H53" s="38" t="n">
        <f aca="false">IFERROR(SUM('Mid &amp; Assgn - B'!N56:S56),0)</f>
        <v>0</v>
      </c>
      <c r="I53" s="38" t="n">
        <f aca="false">IFERROR(SUM('Mid &amp; Assgn - B'!T56:Y56),0)</f>
        <v>0</v>
      </c>
      <c r="J53" s="38" t="n">
        <f aca="false">H53+I53</f>
        <v>0</v>
      </c>
      <c r="K53" s="38" t="n">
        <f aca="false">IFERROR(ROUND(J53/30*15,2),0)</f>
        <v>0</v>
      </c>
      <c r="L53" s="38" t="n">
        <f aca="false">'Mid &amp; Assgn - B'!Z56</f>
        <v>0</v>
      </c>
      <c r="M53" s="38" t="n">
        <f aca="false">'Mid &amp; Assgn - B'!AA56</f>
        <v>0</v>
      </c>
      <c r="N53" s="38" t="n">
        <f aca="false">'Mid &amp; Assgn - B'!AB56</f>
        <v>0</v>
      </c>
      <c r="O53" s="38" t="n">
        <f aca="false">'Mid &amp; Assgn - B'!AC56</f>
        <v>0</v>
      </c>
      <c r="P53" s="38" t="n">
        <f aca="false">'Mid &amp; Assgn - B'!AD56</f>
        <v>0</v>
      </c>
      <c r="Q53" s="38" t="n">
        <f aca="false">'Mid &amp; Assgn - B'!AE56</f>
        <v>0</v>
      </c>
      <c r="R53" s="38" t="n">
        <f aca="false">IF(D53/30&gt;=0.7,3,IF(D53/30&gt;=0.5,2,IF(D53/30&gt;=0.35,1,0)))</f>
        <v>0</v>
      </c>
      <c r="S53" s="38" t="n">
        <f aca="false">IF(E53/30&gt;=0.7,3,IF(E53/30&gt;=0.5,2,IF(E53/30&gt;=0.35,1,0)))</f>
        <v>0</v>
      </c>
      <c r="T53" s="38" t="n">
        <f aca="false">IF(H53/30&gt;=0.7,3,IF(H53/30&gt;=0.5,2,IF(H53/30&gt;=0.35,1,0)))</f>
        <v>0</v>
      </c>
      <c r="U53" s="38" t="n">
        <f aca="false">IF(I53/30&gt;=0.7,3,IF(I53/30&gt;=0.5,2,IF(I53/30&gt;=0.35,1,0)))</f>
        <v>0</v>
      </c>
      <c r="V53" s="38"/>
      <c r="W53" s="38"/>
      <c r="X53" s="38"/>
      <c r="Y53" s="38"/>
      <c r="Z53" s="38" t="n">
        <f aca="false">G53+K53+L53+M53+N53+O53+P53</f>
        <v>0</v>
      </c>
      <c r="AA53" s="38" t="n">
        <f aca="false">IFERROR(AVERAGE(R53:U53),0)</f>
        <v>0</v>
      </c>
    </row>
    <row r="54" customFormat="false" ht="15" hidden="false" customHeight="true" outlineLevel="0" collapsed="false">
      <c r="A54" s="35" t="n">
        <v>41</v>
      </c>
      <c r="B54" s="35" t="n">
        <f aca="false">'Mid &amp; Assgn - B'!B57</f>
        <v>0</v>
      </c>
      <c r="C54" s="35" t="n">
        <f aca="false">'Mid &amp; Assgn - B'!C57</f>
        <v>0</v>
      </c>
      <c r="D54" s="36" t="n">
        <f aca="false">IFERROR(SUM('Mid &amp; Assgn - B'!D57:I57),0)</f>
        <v>0</v>
      </c>
      <c r="E54" s="36" t="n">
        <f aca="false">IFERROR(SUM('Mid &amp; Assgn - B'!J57:M57),0)</f>
        <v>0</v>
      </c>
      <c r="F54" s="36" t="n">
        <f aca="false">D54+E54</f>
        <v>0</v>
      </c>
      <c r="G54" s="36" t="n">
        <f aca="false">IFERROR(ROUND(F54/30*15,2),0)</f>
        <v>0</v>
      </c>
      <c r="H54" s="36" t="n">
        <f aca="false">IFERROR(SUM('Mid &amp; Assgn - B'!N57:S57),0)</f>
        <v>0</v>
      </c>
      <c r="I54" s="36" t="n">
        <f aca="false">IFERROR(SUM('Mid &amp; Assgn - B'!T57:Y57),0)</f>
        <v>0</v>
      </c>
      <c r="J54" s="36" t="n">
        <f aca="false">H54+I54</f>
        <v>0</v>
      </c>
      <c r="K54" s="36" t="n">
        <f aca="false">IFERROR(ROUND(J54/30*15,2),0)</f>
        <v>0</v>
      </c>
      <c r="L54" s="36" t="n">
        <f aca="false">'Mid &amp; Assgn - B'!Z57</f>
        <v>0</v>
      </c>
      <c r="M54" s="36" t="n">
        <f aca="false">'Mid &amp; Assgn - B'!AA57</f>
        <v>0</v>
      </c>
      <c r="N54" s="36" t="n">
        <f aca="false">'Mid &amp; Assgn - B'!AB57</f>
        <v>0</v>
      </c>
      <c r="O54" s="36" t="n">
        <f aca="false">'Mid &amp; Assgn - B'!AC57</f>
        <v>0</v>
      </c>
      <c r="P54" s="36" t="n">
        <f aca="false">'Mid &amp; Assgn - B'!AD57</f>
        <v>0</v>
      </c>
      <c r="Q54" s="36" t="n">
        <f aca="false">'Mid &amp; Assgn - B'!AE57</f>
        <v>0</v>
      </c>
      <c r="R54" s="36" t="n">
        <f aca="false">IF(D54/30&gt;=0.7,3,IF(D54/30&gt;=0.5,2,IF(D54/30&gt;=0.35,1,0)))</f>
        <v>0</v>
      </c>
      <c r="S54" s="36" t="n">
        <f aca="false">IF(E54/30&gt;=0.7,3,IF(E54/30&gt;=0.5,2,IF(E54/30&gt;=0.35,1,0)))</f>
        <v>0</v>
      </c>
      <c r="T54" s="36" t="n">
        <f aca="false">IF(H54/30&gt;=0.7,3,IF(H54/30&gt;=0.5,2,IF(H54/30&gt;=0.35,1,0)))</f>
        <v>0</v>
      </c>
      <c r="U54" s="36" t="n">
        <f aca="false">IF(I54/30&gt;=0.7,3,IF(I54/30&gt;=0.5,2,IF(I54/30&gt;=0.35,1,0)))</f>
        <v>0</v>
      </c>
      <c r="V54" s="36"/>
      <c r="W54" s="36"/>
      <c r="X54" s="36"/>
      <c r="Y54" s="36"/>
      <c r="Z54" s="36" t="n">
        <f aca="false">G54+K54+L54+M54+N54+O54+P54</f>
        <v>0</v>
      </c>
      <c r="AA54" s="36" t="n">
        <f aca="false">IFERROR(AVERAGE(R54:U54),0)</f>
        <v>0</v>
      </c>
    </row>
    <row r="55" customFormat="false" ht="15" hidden="false" customHeight="true" outlineLevel="0" collapsed="false">
      <c r="A55" s="37" t="n">
        <v>42</v>
      </c>
      <c r="B55" s="37" t="n">
        <f aca="false">'Mid &amp; Assgn - B'!B58</f>
        <v>0</v>
      </c>
      <c r="C55" s="37" t="n">
        <f aca="false">'Mid &amp; Assgn - B'!C58</f>
        <v>0</v>
      </c>
      <c r="D55" s="38" t="n">
        <f aca="false">IFERROR(SUM('Mid &amp; Assgn - B'!D58:I58),0)</f>
        <v>0</v>
      </c>
      <c r="E55" s="38" t="n">
        <f aca="false">IFERROR(SUM('Mid &amp; Assgn - B'!J58:M58),0)</f>
        <v>0</v>
      </c>
      <c r="F55" s="38" t="n">
        <f aca="false">D55+E55</f>
        <v>0</v>
      </c>
      <c r="G55" s="38" t="n">
        <f aca="false">IFERROR(ROUND(F55/30*15,2),0)</f>
        <v>0</v>
      </c>
      <c r="H55" s="38" t="n">
        <f aca="false">IFERROR(SUM('Mid &amp; Assgn - B'!N58:S58),0)</f>
        <v>0</v>
      </c>
      <c r="I55" s="38" t="n">
        <f aca="false">IFERROR(SUM('Mid &amp; Assgn - B'!T58:Y58),0)</f>
        <v>0</v>
      </c>
      <c r="J55" s="38" t="n">
        <f aca="false">H55+I55</f>
        <v>0</v>
      </c>
      <c r="K55" s="38" t="n">
        <f aca="false">IFERROR(ROUND(J55/30*15,2),0)</f>
        <v>0</v>
      </c>
      <c r="L55" s="38" t="n">
        <f aca="false">'Mid &amp; Assgn - B'!Z58</f>
        <v>0</v>
      </c>
      <c r="M55" s="38" t="n">
        <f aca="false">'Mid &amp; Assgn - B'!AA58</f>
        <v>0</v>
      </c>
      <c r="N55" s="38" t="n">
        <f aca="false">'Mid &amp; Assgn - B'!AB58</f>
        <v>0</v>
      </c>
      <c r="O55" s="38" t="n">
        <f aca="false">'Mid &amp; Assgn - B'!AC58</f>
        <v>0</v>
      </c>
      <c r="P55" s="38" t="n">
        <f aca="false">'Mid &amp; Assgn - B'!AD58</f>
        <v>0</v>
      </c>
      <c r="Q55" s="38" t="n">
        <f aca="false">'Mid &amp; Assgn - B'!AE58</f>
        <v>0</v>
      </c>
      <c r="R55" s="38" t="n">
        <f aca="false">IF(D55/30&gt;=0.7,3,IF(D55/30&gt;=0.5,2,IF(D55/30&gt;=0.35,1,0)))</f>
        <v>0</v>
      </c>
      <c r="S55" s="38" t="n">
        <f aca="false">IF(E55/30&gt;=0.7,3,IF(E55/30&gt;=0.5,2,IF(E55/30&gt;=0.35,1,0)))</f>
        <v>0</v>
      </c>
      <c r="T55" s="38" t="n">
        <f aca="false">IF(H55/30&gt;=0.7,3,IF(H55/30&gt;=0.5,2,IF(H55/30&gt;=0.35,1,0)))</f>
        <v>0</v>
      </c>
      <c r="U55" s="38" t="n">
        <f aca="false">IF(I55/30&gt;=0.7,3,IF(I55/30&gt;=0.5,2,IF(I55/30&gt;=0.35,1,0)))</f>
        <v>0</v>
      </c>
      <c r="V55" s="38"/>
      <c r="W55" s="38"/>
      <c r="X55" s="38"/>
      <c r="Y55" s="38"/>
      <c r="Z55" s="38" t="n">
        <f aca="false">G55+K55+L55+M55+N55+O55+P55</f>
        <v>0</v>
      </c>
      <c r="AA55" s="38" t="n">
        <f aca="false">IFERROR(AVERAGE(R55:U55),0)</f>
        <v>0</v>
      </c>
    </row>
    <row r="56" customFormat="false" ht="15" hidden="false" customHeight="true" outlineLevel="0" collapsed="false">
      <c r="A56" s="35" t="n">
        <v>43</v>
      </c>
      <c r="B56" s="35" t="n">
        <f aca="false">'Mid &amp; Assgn - B'!B59</f>
        <v>0</v>
      </c>
      <c r="C56" s="35" t="n">
        <f aca="false">'Mid &amp; Assgn - B'!C59</f>
        <v>0</v>
      </c>
      <c r="D56" s="36" t="n">
        <f aca="false">IFERROR(SUM('Mid &amp; Assgn - B'!D59:I59),0)</f>
        <v>0</v>
      </c>
      <c r="E56" s="36" t="n">
        <f aca="false">IFERROR(SUM('Mid &amp; Assgn - B'!J59:M59),0)</f>
        <v>0</v>
      </c>
      <c r="F56" s="36" t="n">
        <f aca="false">D56+E56</f>
        <v>0</v>
      </c>
      <c r="G56" s="36" t="n">
        <f aca="false">IFERROR(ROUND(F56/30*15,2),0)</f>
        <v>0</v>
      </c>
      <c r="H56" s="36" t="n">
        <f aca="false">IFERROR(SUM('Mid &amp; Assgn - B'!N59:S59),0)</f>
        <v>0</v>
      </c>
      <c r="I56" s="36" t="n">
        <f aca="false">IFERROR(SUM('Mid &amp; Assgn - B'!T59:Y59),0)</f>
        <v>0</v>
      </c>
      <c r="J56" s="36" t="n">
        <f aca="false">H56+I56</f>
        <v>0</v>
      </c>
      <c r="K56" s="36" t="n">
        <f aca="false">IFERROR(ROUND(J56/30*15,2),0)</f>
        <v>0</v>
      </c>
      <c r="L56" s="36" t="n">
        <f aca="false">'Mid &amp; Assgn - B'!Z59</f>
        <v>0</v>
      </c>
      <c r="M56" s="36" t="n">
        <f aca="false">'Mid &amp; Assgn - B'!AA59</f>
        <v>0</v>
      </c>
      <c r="N56" s="36" t="n">
        <f aca="false">'Mid &amp; Assgn - B'!AB59</f>
        <v>0</v>
      </c>
      <c r="O56" s="36" t="n">
        <f aca="false">'Mid &amp; Assgn - B'!AC59</f>
        <v>0</v>
      </c>
      <c r="P56" s="36" t="n">
        <f aca="false">'Mid &amp; Assgn - B'!AD59</f>
        <v>0</v>
      </c>
      <c r="Q56" s="36" t="n">
        <f aca="false">'Mid &amp; Assgn - B'!AE59</f>
        <v>0</v>
      </c>
      <c r="R56" s="36" t="n">
        <f aca="false">IF(D56/30&gt;=0.7,3,IF(D56/30&gt;=0.5,2,IF(D56/30&gt;=0.35,1,0)))</f>
        <v>0</v>
      </c>
      <c r="S56" s="36" t="n">
        <f aca="false">IF(E56/30&gt;=0.7,3,IF(E56/30&gt;=0.5,2,IF(E56/30&gt;=0.35,1,0)))</f>
        <v>0</v>
      </c>
      <c r="T56" s="36" t="n">
        <f aca="false">IF(H56/30&gt;=0.7,3,IF(H56/30&gt;=0.5,2,IF(H56/30&gt;=0.35,1,0)))</f>
        <v>0</v>
      </c>
      <c r="U56" s="36" t="n">
        <f aca="false">IF(I56/30&gt;=0.7,3,IF(I56/30&gt;=0.5,2,IF(I56/30&gt;=0.35,1,0)))</f>
        <v>0</v>
      </c>
      <c r="V56" s="36"/>
      <c r="W56" s="36"/>
      <c r="X56" s="36"/>
      <c r="Y56" s="36"/>
      <c r="Z56" s="36" t="n">
        <f aca="false">G56+K56+L56+M56+N56+O56+P56</f>
        <v>0</v>
      </c>
      <c r="AA56" s="36" t="n">
        <f aca="false">IFERROR(AVERAGE(R56:U56),0)</f>
        <v>0</v>
      </c>
    </row>
    <row r="57" customFormat="false" ht="15" hidden="false" customHeight="true" outlineLevel="0" collapsed="false">
      <c r="A57" s="37" t="n">
        <v>44</v>
      </c>
      <c r="B57" s="37" t="n">
        <f aca="false">'Mid &amp; Assgn - B'!B60</f>
        <v>0</v>
      </c>
      <c r="C57" s="37" t="n">
        <f aca="false">'Mid &amp; Assgn - B'!C60</f>
        <v>0</v>
      </c>
      <c r="D57" s="38" t="n">
        <f aca="false">IFERROR(SUM('Mid &amp; Assgn - B'!D60:I60),0)</f>
        <v>0</v>
      </c>
      <c r="E57" s="38" t="n">
        <f aca="false">IFERROR(SUM('Mid &amp; Assgn - B'!J60:M60),0)</f>
        <v>0</v>
      </c>
      <c r="F57" s="38" t="n">
        <f aca="false">D57+E57</f>
        <v>0</v>
      </c>
      <c r="G57" s="38" t="n">
        <f aca="false">IFERROR(ROUND(F57/30*15,2),0)</f>
        <v>0</v>
      </c>
      <c r="H57" s="38" t="n">
        <f aca="false">IFERROR(SUM('Mid &amp; Assgn - B'!N60:S60),0)</f>
        <v>0</v>
      </c>
      <c r="I57" s="38" t="n">
        <f aca="false">IFERROR(SUM('Mid &amp; Assgn - B'!T60:Y60),0)</f>
        <v>0</v>
      </c>
      <c r="J57" s="38" t="n">
        <f aca="false">H57+I57</f>
        <v>0</v>
      </c>
      <c r="K57" s="38" t="n">
        <f aca="false">IFERROR(ROUND(J57/30*15,2),0)</f>
        <v>0</v>
      </c>
      <c r="L57" s="38" t="n">
        <f aca="false">'Mid &amp; Assgn - B'!Z60</f>
        <v>0</v>
      </c>
      <c r="M57" s="38" t="n">
        <f aca="false">'Mid &amp; Assgn - B'!AA60</f>
        <v>0</v>
      </c>
      <c r="N57" s="38" t="n">
        <f aca="false">'Mid &amp; Assgn - B'!AB60</f>
        <v>0</v>
      </c>
      <c r="O57" s="38" t="n">
        <f aca="false">'Mid &amp; Assgn - B'!AC60</f>
        <v>0</v>
      </c>
      <c r="P57" s="38" t="n">
        <f aca="false">'Mid &amp; Assgn - B'!AD60</f>
        <v>0</v>
      </c>
      <c r="Q57" s="38" t="n">
        <f aca="false">'Mid &amp; Assgn - B'!AE60</f>
        <v>0</v>
      </c>
      <c r="R57" s="38" t="n">
        <f aca="false">IF(D57/30&gt;=0.7,3,IF(D57/30&gt;=0.5,2,IF(D57/30&gt;=0.35,1,0)))</f>
        <v>0</v>
      </c>
      <c r="S57" s="38" t="n">
        <f aca="false">IF(E57/30&gt;=0.7,3,IF(E57/30&gt;=0.5,2,IF(E57/30&gt;=0.35,1,0)))</f>
        <v>0</v>
      </c>
      <c r="T57" s="38" t="n">
        <f aca="false">IF(H57/30&gt;=0.7,3,IF(H57/30&gt;=0.5,2,IF(H57/30&gt;=0.35,1,0)))</f>
        <v>0</v>
      </c>
      <c r="U57" s="38" t="n">
        <f aca="false">IF(I57/30&gt;=0.7,3,IF(I57/30&gt;=0.5,2,IF(I57/30&gt;=0.35,1,0)))</f>
        <v>0</v>
      </c>
      <c r="V57" s="38"/>
      <c r="W57" s="38"/>
      <c r="X57" s="38"/>
      <c r="Y57" s="38"/>
      <c r="Z57" s="38" t="n">
        <f aca="false">G57+K57+L57+M57+N57+O57+P57</f>
        <v>0</v>
      </c>
      <c r="AA57" s="38" t="n">
        <f aca="false">IFERROR(AVERAGE(R57:U57),0)</f>
        <v>0</v>
      </c>
    </row>
    <row r="58" customFormat="false" ht="15" hidden="false" customHeight="true" outlineLevel="0" collapsed="false">
      <c r="A58" s="35" t="n">
        <v>45</v>
      </c>
      <c r="B58" s="35" t="n">
        <f aca="false">'Mid &amp; Assgn - B'!B61</f>
        <v>0</v>
      </c>
      <c r="C58" s="35" t="n">
        <f aca="false">'Mid &amp; Assgn - B'!C61</f>
        <v>0</v>
      </c>
      <c r="D58" s="36" t="n">
        <f aca="false">IFERROR(SUM('Mid &amp; Assgn - B'!D61:I61),0)</f>
        <v>0</v>
      </c>
      <c r="E58" s="36" t="n">
        <f aca="false">IFERROR(SUM('Mid &amp; Assgn - B'!J61:M61),0)</f>
        <v>0</v>
      </c>
      <c r="F58" s="36" t="n">
        <f aca="false">D58+E58</f>
        <v>0</v>
      </c>
      <c r="G58" s="36" t="n">
        <f aca="false">IFERROR(ROUND(F58/30*15,2),0)</f>
        <v>0</v>
      </c>
      <c r="H58" s="36" t="n">
        <f aca="false">IFERROR(SUM('Mid &amp; Assgn - B'!N61:S61),0)</f>
        <v>0</v>
      </c>
      <c r="I58" s="36" t="n">
        <f aca="false">IFERROR(SUM('Mid &amp; Assgn - B'!T61:Y61),0)</f>
        <v>0</v>
      </c>
      <c r="J58" s="36" t="n">
        <f aca="false">H58+I58</f>
        <v>0</v>
      </c>
      <c r="K58" s="36" t="n">
        <f aca="false">IFERROR(ROUND(J58/30*15,2),0)</f>
        <v>0</v>
      </c>
      <c r="L58" s="36" t="n">
        <f aca="false">'Mid &amp; Assgn - B'!Z61</f>
        <v>0</v>
      </c>
      <c r="M58" s="36" t="n">
        <f aca="false">'Mid &amp; Assgn - B'!AA61</f>
        <v>0</v>
      </c>
      <c r="N58" s="36" t="n">
        <f aca="false">'Mid &amp; Assgn - B'!AB61</f>
        <v>0</v>
      </c>
      <c r="O58" s="36" t="n">
        <f aca="false">'Mid &amp; Assgn - B'!AC61</f>
        <v>0</v>
      </c>
      <c r="P58" s="36" t="n">
        <f aca="false">'Mid &amp; Assgn - B'!AD61</f>
        <v>0</v>
      </c>
      <c r="Q58" s="36" t="n">
        <f aca="false">'Mid &amp; Assgn - B'!AE61</f>
        <v>0</v>
      </c>
      <c r="R58" s="36" t="n">
        <f aca="false">IF(D58/30&gt;=0.7,3,IF(D58/30&gt;=0.5,2,IF(D58/30&gt;=0.35,1,0)))</f>
        <v>0</v>
      </c>
      <c r="S58" s="36" t="n">
        <f aca="false">IF(E58/30&gt;=0.7,3,IF(E58/30&gt;=0.5,2,IF(E58/30&gt;=0.35,1,0)))</f>
        <v>0</v>
      </c>
      <c r="T58" s="36" t="n">
        <f aca="false">IF(H58/30&gt;=0.7,3,IF(H58/30&gt;=0.5,2,IF(H58/30&gt;=0.35,1,0)))</f>
        <v>0</v>
      </c>
      <c r="U58" s="36" t="n">
        <f aca="false">IF(I58/30&gt;=0.7,3,IF(I58/30&gt;=0.5,2,IF(I58/30&gt;=0.35,1,0)))</f>
        <v>0</v>
      </c>
      <c r="V58" s="36"/>
      <c r="W58" s="36"/>
      <c r="X58" s="36"/>
      <c r="Y58" s="36"/>
      <c r="Z58" s="36" t="n">
        <f aca="false">G58+K58+L58+M58+N58+O58+P58</f>
        <v>0</v>
      </c>
      <c r="AA58" s="36" t="n">
        <f aca="false">IFERROR(AVERAGE(R58:U58),0)</f>
        <v>0</v>
      </c>
    </row>
    <row r="59" customFormat="false" ht="15" hidden="false" customHeight="true" outlineLevel="0" collapsed="false">
      <c r="A59" s="37" t="n">
        <v>46</v>
      </c>
      <c r="B59" s="37" t="n">
        <f aca="false">'Mid &amp; Assgn - B'!B62</f>
        <v>0</v>
      </c>
      <c r="C59" s="37" t="n">
        <f aca="false">'Mid &amp; Assgn - B'!C62</f>
        <v>0</v>
      </c>
      <c r="D59" s="38" t="n">
        <f aca="false">IFERROR(SUM('Mid &amp; Assgn - B'!D62:I62),0)</f>
        <v>0</v>
      </c>
      <c r="E59" s="38" t="n">
        <f aca="false">IFERROR(SUM('Mid &amp; Assgn - B'!J62:M62),0)</f>
        <v>0</v>
      </c>
      <c r="F59" s="38" t="n">
        <f aca="false">D59+E59</f>
        <v>0</v>
      </c>
      <c r="G59" s="38" t="n">
        <f aca="false">IFERROR(ROUND(F59/30*15,2),0)</f>
        <v>0</v>
      </c>
      <c r="H59" s="38" t="n">
        <f aca="false">IFERROR(SUM('Mid &amp; Assgn - B'!N62:S62),0)</f>
        <v>0</v>
      </c>
      <c r="I59" s="38" t="n">
        <f aca="false">IFERROR(SUM('Mid &amp; Assgn - B'!T62:Y62),0)</f>
        <v>0</v>
      </c>
      <c r="J59" s="38" t="n">
        <f aca="false">H59+I59</f>
        <v>0</v>
      </c>
      <c r="K59" s="38" t="n">
        <f aca="false">IFERROR(ROUND(J59/30*15,2),0)</f>
        <v>0</v>
      </c>
      <c r="L59" s="38" t="n">
        <f aca="false">'Mid &amp; Assgn - B'!Z62</f>
        <v>0</v>
      </c>
      <c r="M59" s="38" t="n">
        <f aca="false">'Mid &amp; Assgn - B'!AA62</f>
        <v>0</v>
      </c>
      <c r="N59" s="38" t="n">
        <f aca="false">'Mid &amp; Assgn - B'!AB62</f>
        <v>0</v>
      </c>
      <c r="O59" s="38" t="n">
        <f aca="false">'Mid &amp; Assgn - B'!AC62</f>
        <v>0</v>
      </c>
      <c r="P59" s="38" t="n">
        <f aca="false">'Mid &amp; Assgn - B'!AD62</f>
        <v>0</v>
      </c>
      <c r="Q59" s="38" t="n">
        <f aca="false">'Mid &amp; Assgn - B'!AE62</f>
        <v>0</v>
      </c>
      <c r="R59" s="38" t="n">
        <f aca="false">IF(D59/30&gt;=0.7,3,IF(D59/30&gt;=0.5,2,IF(D59/30&gt;=0.35,1,0)))</f>
        <v>0</v>
      </c>
      <c r="S59" s="38" t="n">
        <f aca="false">IF(E59/30&gt;=0.7,3,IF(E59/30&gt;=0.5,2,IF(E59/30&gt;=0.35,1,0)))</f>
        <v>0</v>
      </c>
      <c r="T59" s="38" t="n">
        <f aca="false">IF(H59/30&gt;=0.7,3,IF(H59/30&gt;=0.5,2,IF(H59/30&gt;=0.35,1,0)))</f>
        <v>0</v>
      </c>
      <c r="U59" s="38" t="n">
        <f aca="false">IF(I59/30&gt;=0.7,3,IF(I59/30&gt;=0.5,2,IF(I59/30&gt;=0.35,1,0)))</f>
        <v>0</v>
      </c>
      <c r="V59" s="38"/>
      <c r="W59" s="38"/>
      <c r="X59" s="38"/>
      <c r="Y59" s="38"/>
      <c r="Z59" s="38" t="n">
        <f aca="false">G59+K59+L59+M59+N59+O59+P59</f>
        <v>0</v>
      </c>
      <c r="AA59" s="38" t="n">
        <f aca="false">IFERROR(AVERAGE(R59:U59),0)</f>
        <v>0</v>
      </c>
    </row>
    <row r="60" customFormat="false" ht="15" hidden="false" customHeight="true" outlineLevel="0" collapsed="false">
      <c r="A60" s="35" t="n">
        <v>47</v>
      </c>
      <c r="B60" s="35" t="n">
        <f aca="false">'Mid &amp; Assgn - B'!B63</f>
        <v>0</v>
      </c>
      <c r="C60" s="35" t="n">
        <f aca="false">'Mid &amp; Assgn - B'!C63</f>
        <v>0</v>
      </c>
      <c r="D60" s="36" t="n">
        <f aca="false">IFERROR(SUM('Mid &amp; Assgn - B'!D63:I63),0)</f>
        <v>0</v>
      </c>
      <c r="E60" s="36" t="n">
        <f aca="false">IFERROR(SUM('Mid &amp; Assgn - B'!J63:M63),0)</f>
        <v>0</v>
      </c>
      <c r="F60" s="36" t="n">
        <f aca="false">D60+E60</f>
        <v>0</v>
      </c>
      <c r="G60" s="36" t="n">
        <f aca="false">IFERROR(ROUND(F60/30*15,2),0)</f>
        <v>0</v>
      </c>
      <c r="H60" s="36" t="n">
        <f aca="false">IFERROR(SUM('Mid &amp; Assgn - B'!N63:S63),0)</f>
        <v>0</v>
      </c>
      <c r="I60" s="36" t="n">
        <f aca="false">IFERROR(SUM('Mid &amp; Assgn - B'!T63:Y63),0)</f>
        <v>0</v>
      </c>
      <c r="J60" s="36" t="n">
        <f aca="false">H60+I60</f>
        <v>0</v>
      </c>
      <c r="K60" s="36" t="n">
        <f aca="false">IFERROR(ROUND(J60/30*15,2),0)</f>
        <v>0</v>
      </c>
      <c r="L60" s="36" t="n">
        <f aca="false">'Mid &amp; Assgn - B'!Z63</f>
        <v>0</v>
      </c>
      <c r="M60" s="36" t="n">
        <f aca="false">'Mid &amp; Assgn - B'!AA63</f>
        <v>0</v>
      </c>
      <c r="N60" s="36" t="n">
        <f aca="false">'Mid &amp; Assgn - B'!AB63</f>
        <v>0</v>
      </c>
      <c r="O60" s="36" t="n">
        <f aca="false">'Mid &amp; Assgn - B'!AC63</f>
        <v>0</v>
      </c>
      <c r="P60" s="36" t="n">
        <f aca="false">'Mid &amp; Assgn - B'!AD63</f>
        <v>0</v>
      </c>
      <c r="Q60" s="36" t="n">
        <f aca="false">'Mid &amp; Assgn - B'!AE63</f>
        <v>0</v>
      </c>
      <c r="R60" s="36" t="n">
        <f aca="false">IF(D60/30&gt;=0.7,3,IF(D60/30&gt;=0.5,2,IF(D60/30&gt;=0.35,1,0)))</f>
        <v>0</v>
      </c>
      <c r="S60" s="36" t="n">
        <f aca="false">IF(E60/30&gt;=0.7,3,IF(E60/30&gt;=0.5,2,IF(E60/30&gt;=0.35,1,0)))</f>
        <v>0</v>
      </c>
      <c r="T60" s="36" t="n">
        <f aca="false">IF(H60/30&gt;=0.7,3,IF(H60/30&gt;=0.5,2,IF(H60/30&gt;=0.35,1,0)))</f>
        <v>0</v>
      </c>
      <c r="U60" s="36" t="n">
        <f aca="false">IF(I60/30&gt;=0.7,3,IF(I60/30&gt;=0.5,2,IF(I60/30&gt;=0.35,1,0)))</f>
        <v>0</v>
      </c>
      <c r="V60" s="36"/>
      <c r="W60" s="36"/>
      <c r="X60" s="36"/>
      <c r="Y60" s="36"/>
      <c r="Z60" s="36" t="n">
        <f aca="false">G60+K60+L60+M60+N60+O60+P60</f>
        <v>0</v>
      </c>
      <c r="AA60" s="36" t="n">
        <f aca="false">IFERROR(AVERAGE(R60:U60),0)</f>
        <v>0</v>
      </c>
    </row>
    <row r="61" customFormat="false" ht="15" hidden="false" customHeight="true" outlineLevel="0" collapsed="false">
      <c r="A61" s="37" t="n">
        <v>48</v>
      </c>
      <c r="B61" s="37" t="n">
        <f aca="false">'Mid &amp; Assgn - B'!B64</f>
        <v>0</v>
      </c>
      <c r="C61" s="37" t="n">
        <f aca="false">'Mid &amp; Assgn - B'!C64</f>
        <v>0</v>
      </c>
      <c r="D61" s="38" t="n">
        <f aca="false">IFERROR(SUM('Mid &amp; Assgn - B'!D64:I64),0)</f>
        <v>0</v>
      </c>
      <c r="E61" s="38" t="n">
        <f aca="false">IFERROR(SUM('Mid &amp; Assgn - B'!J64:M64),0)</f>
        <v>0</v>
      </c>
      <c r="F61" s="38" t="n">
        <f aca="false">D61+E61</f>
        <v>0</v>
      </c>
      <c r="G61" s="38" t="n">
        <f aca="false">IFERROR(ROUND(F61/30*15,2),0)</f>
        <v>0</v>
      </c>
      <c r="H61" s="38" t="n">
        <f aca="false">IFERROR(SUM('Mid &amp; Assgn - B'!N64:S64),0)</f>
        <v>0</v>
      </c>
      <c r="I61" s="38" t="n">
        <f aca="false">IFERROR(SUM('Mid &amp; Assgn - B'!T64:Y64),0)</f>
        <v>0</v>
      </c>
      <c r="J61" s="38" t="n">
        <f aca="false">H61+I61</f>
        <v>0</v>
      </c>
      <c r="K61" s="38" t="n">
        <f aca="false">IFERROR(ROUND(J61/30*15,2),0)</f>
        <v>0</v>
      </c>
      <c r="L61" s="38" t="n">
        <f aca="false">'Mid &amp; Assgn - B'!Z64</f>
        <v>0</v>
      </c>
      <c r="M61" s="38" t="n">
        <f aca="false">'Mid &amp; Assgn - B'!AA64</f>
        <v>0</v>
      </c>
      <c r="N61" s="38" t="n">
        <f aca="false">'Mid &amp; Assgn - B'!AB64</f>
        <v>0</v>
      </c>
      <c r="O61" s="38" t="n">
        <f aca="false">'Mid &amp; Assgn - B'!AC64</f>
        <v>0</v>
      </c>
      <c r="P61" s="38" t="n">
        <f aca="false">'Mid &amp; Assgn - B'!AD64</f>
        <v>0</v>
      </c>
      <c r="Q61" s="38" t="n">
        <f aca="false">'Mid &amp; Assgn - B'!AE64</f>
        <v>0</v>
      </c>
      <c r="R61" s="38" t="n">
        <f aca="false">IF(D61/30&gt;=0.7,3,IF(D61/30&gt;=0.5,2,IF(D61/30&gt;=0.35,1,0)))</f>
        <v>0</v>
      </c>
      <c r="S61" s="38" t="n">
        <f aca="false">IF(E61/30&gt;=0.7,3,IF(E61/30&gt;=0.5,2,IF(E61/30&gt;=0.35,1,0)))</f>
        <v>0</v>
      </c>
      <c r="T61" s="38" t="n">
        <f aca="false">IF(H61/30&gt;=0.7,3,IF(H61/30&gt;=0.5,2,IF(H61/30&gt;=0.35,1,0)))</f>
        <v>0</v>
      </c>
      <c r="U61" s="38" t="n">
        <f aca="false">IF(I61/30&gt;=0.7,3,IF(I61/30&gt;=0.5,2,IF(I61/30&gt;=0.35,1,0)))</f>
        <v>0</v>
      </c>
      <c r="V61" s="38"/>
      <c r="W61" s="38"/>
      <c r="X61" s="38"/>
      <c r="Y61" s="38"/>
      <c r="Z61" s="38" t="n">
        <f aca="false">G61+K61+L61+M61+N61+O61+P61</f>
        <v>0</v>
      </c>
      <c r="AA61" s="38" t="n">
        <f aca="false">IFERROR(AVERAGE(R61:U61),0)</f>
        <v>0</v>
      </c>
    </row>
    <row r="62" customFormat="false" ht="15" hidden="false" customHeight="true" outlineLevel="0" collapsed="false">
      <c r="A62" s="35" t="n">
        <v>49</v>
      </c>
      <c r="B62" s="35" t="n">
        <f aca="false">'Mid &amp; Assgn - B'!B65</f>
        <v>0</v>
      </c>
      <c r="C62" s="35" t="n">
        <f aca="false">'Mid &amp; Assgn - B'!C65</f>
        <v>0</v>
      </c>
      <c r="D62" s="36" t="n">
        <f aca="false">IFERROR(SUM('Mid &amp; Assgn - B'!D65:I65),0)</f>
        <v>0</v>
      </c>
      <c r="E62" s="36" t="n">
        <f aca="false">IFERROR(SUM('Mid &amp; Assgn - B'!J65:M65),0)</f>
        <v>0</v>
      </c>
      <c r="F62" s="36" t="n">
        <f aca="false">D62+E62</f>
        <v>0</v>
      </c>
      <c r="G62" s="36" t="n">
        <f aca="false">IFERROR(ROUND(F62/30*15,2),0)</f>
        <v>0</v>
      </c>
      <c r="H62" s="36" t="n">
        <f aca="false">IFERROR(SUM('Mid &amp; Assgn - B'!N65:S65),0)</f>
        <v>0</v>
      </c>
      <c r="I62" s="36" t="n">
        <f aca="false">IFERROR(SUM('Mid &amp; Assgn - B'!T65:Y65),0)</f>
        <v>0</v>
      </c>
      <c r="J62" s="36" t="n">
        <f aca="false">H62+I62</f>
        <v>0</v>
      </c>
      <c r="K62" s="36" t="n">
        <f aca="false">IFERROR(ROUND(J62/30*15,2),0)</f>
        <v>0</v>
      </c>
      <c r="L62" s="36" t="n">
        <f aca="false">'Mid &amp; Assgn - B'!Z65</f>
        <v>0</v>
      </c>
      <c r="M62" s="36" t="n">
        <f aca="false">'Mid &amp; Assgn - B'!AA65</f>
        <v>0</v>
      </c>
      <c r="N62" s="36" t="n">
        <f aca="false">'Mid &amp; Assgn - B'!AB65</f>
        <v>0</v>
      </c>
      <c r="O62" s="36" t="n">
        <f aca="false">'Mid &amp; Assgn - B'!AC65</f>
        <v>0</v>
      </c>
      <c r="P62" s="36" t="n">
        <f aca="false">'Mid &amp; Assgn - B'!AD65</f>
        <v>0</v>
      </c>
      <c r="Q62" s="36" t="n">
        <f aca="false">'Mid &amp; Assgn - B'!AE65</f>
        <v>0</v>
      </c>
      <c r="R62" s="36" t="n">
        <f aca="false">IF(D62/30&gt;=0.7,3,IF(D62/30&gt;=0.5,2,IF(D62/30&gt;=0.35,1,0)))</f>
        <v>0</v>
      </c>
      <c r="S62" s="36" t="n">
        <f aca="false">IF(E62/30&gt;=0.7,3,IF(E62/30&gt;=0.5,2,IF(E62/30&gt;=0.35,1,0)))</f>
        <v>0</v>
      </c>
      <c r="T62" s="36" t="n">
        <f aca="false">IF(H62/30&gt;=0.7,3,IF(H62/30&gt;=0.5,2,IF(H62/30&gt;=0.35,1,0)))</f>
        <v>0</v>
      </c>
      <c r="U62" s="36" t="n">
        <f aca="false">IF(I62/30&gt;=0.7,3,IF(I62/30&gt;=0.5,2,IF(I62/30&gt;=0.35,1,0)))</f>
        <v>0</v>
      </c>
      <c r="V62" s="36"/>
      <c r="W62" s="36"/>
      <c r="X62" s="36"/>
      <c r="Y62" s="36"/>
      <c r="Z62" s="36" t="n">
        <f aca="false">G62+K62+L62+M62+N62+O62+P62</f>
        <v>0</v>
      </c>
      <c r="AA62" s="36" t="n">
        <f aca="false">IFERROR(AVERAGE(R62:U62),0)</f>
        <v>0</v>
      </c>
    </row>
    <row r="63" customFormat="false" ht="15" hidden="false" customHeight="true" outlineLevel="0" collapsed="false">
      <c r="A63" s="37" t="n">
        <v>50</v>
      </c>
      <c r="B63" s="37" t="n">
        <f aca="false">'Mid &amp; Assgn - B'!B66</f>
        <v>0</v>
      </c>
      <c r="C63" s="37" t="n">
        <f aca="false">'Mid &amp; Assgn - B'!C66</f>
        <v>0</v>
      </c>
      <c r="D63" s="38" t="n">
        <f aca="false">IFERROR(SUM('Mid &amp; Assgn - B'!D66:I66),0)</f>
        <v>0</v>
      </c>
      <c r="E63" s="38" t="n">
        <f aca="false">IFERROR(SUM('Mid &amp; Assgn - B'!J66:M66),0)</f>
        <v>0</v>
      </c>
      <c r="F63" s="38" t="n">
        <f aca="false">D63+E63</f>
        <v>0</v>
      </c>
      <c r="G63" s="38" t="n">
        <f aca="false">IFERROR(ROUND(F63/30*15,2),0)</f>
        <v>0</v>
      </c>
      <c r="H63" s="38" t="n">
        <f aca="false">IFERROR(SUM('Mid &amp; Assgn - B'!N66:S66),0)</f>
        <v>0</v>
      </c>
      <c r="I63" s="38" t="n">
        <f aca="false">IFERROR(SUM('Mid &amp; Assgn - B'!T66:Y66),0)</f>
        <v>0</v>
      </c>
      <c r="J63" s="38" t="n">
        <f aca="false">H63+I63</f>
        <v>0</v>
      </c>
      <c r="K63" s="38" t="n">
        <f aca="false">IFERROR(ROUND(J63/30*15,2),0)</f>
        <v>0</v>
      </c>
      <c r="L63" s="38" t="n">
        <f aca="false">'Mid &amp; Assgn - B'!Z66</f>
        <v>0</v>
      </c>
      <c r="M63" s="38" t="n">
        <f aca="false">'Mid &amp; Assgn - B'!AA66</f>
        <v>0</v>
      </c>
      <c r="N63" s="38" t="n">
        <f aca="false">'Mid &amp; Assgn - B'!AB66</f>
        <v>0</v>
      </c>
      <c r="O63" s="38" t="n">
        <f aca="false">'Mid &amp; Assgn - B'!AC66</f>
        <v>0</v>
      </c>
      <c r="P63" s="38" t="n">
        <f aca="false">'Mid &amp; Assgn - B'!AD66</f>
        <v>0</v>
      </c>
      <c r="Q63" s="38" t="n">
        <f aca="false">'Mid &amp; Assgn - B'!AE66</f>
        <v>0</v>
      </c>
      <c r="R63" s="38" t="n">
        <f aca="false">IF(D63/30&gt;=0.7,3,IF(D63/30&gt;=0.5,2,IF(D63/30&gt;=0.35,1,0)))</f>
        <v>0</v>
      </c>
      <c r="S63" s="38" t="n">
        <f aca="false">IF(E63/30&gt;=0.7,3,IF(E63/30&gt;=0.5,2,IF(E63/30&gt;=0.35,1,0)))</f>
        <v>0</v>
      </c>
      <c r="T63" s="38" t="n">
        <f aca="false">IF(H63/30&gt;=0.7,3,IF(H63/30&gt;=0.5,2,IF(H63/30&gt;=0.35,1,0)))</f>
        <v>0</v>
      </c>
      <c r="U63" s="38" t="n">
        <f aca="false">IF(I63/30&gt;=0.7,3,IF(I63/30&gt;=0.5,2,IF(I63/30&gt;=0.35,1,0)))</f>
        <v>0</v>
      </c>
      <c r="V63" s="38"/>
      <c r="W63" s="38"/>
      <c r="X63" s="38"/>
      <c r="Y63" s="38"/>
      <c r="Z63" s="38" t="n">
        <f aca="false">G63+K63+L63+M63+N63+O63+P63</f>
        <v>0</v>
      </c>
      <c r="AA63" s="38" t="n">
        <f aca="false">IFERROR(AVERAGE(R63:U63),0)</f>
        <v>0</v>
      </c>
    </row>
    <row r="64" customFormat="false" ht="15" hidden="false" customHeight="true" outlineLevel="0" collapsed="false">
      <c r="A64" s="35" t="n">
        <v>51</v>
      </c>
      <c r="B64" s="35" t="n">
        <f aca="false">'Mid &amp; Assgn - B'!B67</f>
        <v>0</v>
      </c>
      <c r="C64" s="35" t="n">
        <f aca="false">'Mid &amp; Assgn - B'!C67</f>
        <v>0</v>
      </c>
      <c r="D64" s="36" t="n">
        <f aca="false">IFERROR(SUM('Mid &amp; Assgn - B'!D67:I67),0)</f>
        <v>0</v>
      </c>
      <c r="E64" s="36" t="n">
        <f aca="false">IFERROR(SUM('Mid &amp; Assgn - B'!J67:M67),0)</f>
        <v>0</v>
      </c>
      <c r="F64" s="36" t="n">
        <f aca="false">D64+E64</f>
        <v>0</v>
      </c>
      <c r="G64" s="36" t="n">
        <f aca="false">IFERROR(ROUND(F64/30*15,2),0)</f>
        <v>0</v>
      </c>
      <c r="H64" s="36" t="n">
        <f aca="false">IFERROR(SUM('Mid &amp; Assgn - B'!N67:S67),0)</f>
        <v>0</v>
      </c>
      <c r="I64" s="36" t="n">
        <f aca="false">IFERROR(SUM('Mid &amp; Assgn - B'!T67:Y67),0)</f>
        <v>0</v>
      </c>
      <c r="J64" s="36" t="n">
        <f aca="false">H64+I64</f>
        <v>0</v>
      </c>
      <c r="K64" s="36" t="n">
        <f aca="false">IFERROR(ROUND(J64/30*15,2),0)</f>
        <v>0</v>
      </c>
      <c r="L64" s="36" t="n">
        <f aca="false">'Mid &amp; Assgn - B'!Z67</f>
        <v>0</v>
      </c>
      <c r="M64" s="36" t="n">
        <f aca="false">'Mid &amp; Assgn - B'!AA67</f>
        <v>0</v>
      </c>
      <c r="N64" s="36" t="n">
        <f aca="false">'Mid &amp; Assgn - B'!AB67</f>
        <v>0</v>
      </c>
      <c r="O64" s="36" t="n">
        <f aca="false">'Mid &amp; Assgn - B'!AC67</f>
        <v>0</v>
      </c>
      <c r="P64" s="36" t="n">
        <f aca="false">'Mid &amp; Assgn - B'!AD67</f>
        <v>0</v>
      </c>
      <c r="Q64" s="36" t="n">
        <f aca="false">'Mid &amp; Assgn - B'!AE67</f>
        <v>0</v>
      </c>
      <c r="R64" s="36" t="n">
        <f aca="false">IF(D64/30&gt;=0.7,3,IF(D64/30&gt;=0.5,2,IF(D64/30&gt;=0.35,1,0)))</f>
        <v>0</v>
      </c>
      <c r="S64" s="36" t="n">
        <f aca="false">IF(E64/30&gt;=0.7,3,IF(E64/30&gt;=0.5,2,IF(E64/30&gt;=0.35,1,0)))</f>
        <v>0</v>
      </c>
      <c r="T64" s="36" t="n">
        <f aca="false">IF(H64/30&gt;=0.7,3,IF(H64/30&gt;=0.5,2,IF(H64/30&gt;=0.35,1,0)))</f>
        <v>0</v>
      </c>
      <c r="U64" s="36" t="n">
        <f aca="false">IF(I64/30&gt;=0.7,3,IF(I64/30&gt;=0.5,2,IF(I64/30&gt;=0.35,1,0)))</f>
        <v>0</v>
      </c>
      <c r="V64" s="36"/>
      <c r="W64" s="36"/>
      <c r="X64" s="36"/>
      <c r="Y64" s="36"/>
      <c r="Z64" s="36" t="n">
        <f aca="false">G64+K64+L64+M64+N64+O64+P64</f>
        <v>0</v>
      </c>
      <c r="AA64" s="36" t="n">
        <f aca="false">IFERROR(AVERAGE(R64:U64),0)</f>
        <v>0</v>
      </c>
    </row>
    <row r="65" customFormat="false" ht="15" hidden="false" customHeight="true" outlineLevel="0" collapsed="false">
      <c r="A65" s="37" t="n">
        <v>52</v>
      </c>
      <c r="B65" s="37" t="n">
        <f aca="false">'Mid &amp; Assgn - B'!B68</f>
        <v>0</v>
      </c>
      <c r="C65" s="37" t="n">
        <f aca="false">'Mid &amp; Assgn - B'!C68</f>
        <v>0</v>
      </c>
      <c r="D65" s="38" t="n">
        <f aca="false">IFERROR(SUM('Mid &amp; Assgn - B'!D68:I68),0)</f>
        <v>0</v>
      </c>
      <c r="E65" s="38" t="n">
        <f aca="false">IFERROR(SUM('Mid &amp; Assgn - B'!J68:M68),0)</f>
        <v>0</v>
      </c>
      <c r="F65" s="38" t="n">
        <f aca="false">D65+E65</f>
        <v>0</v>
      </c>
      <c r="G65" s="38" t="n">
        <f aca="false">IFERROR(ROUND(F65/30*15,2),0)</f>
        <v>0</v>
      </c>
      <c r="H65" s="38" t="n">
        <f aca="false">IFERROR(SUM('Mid &amp; Assgn - B'!N68:S68),0)</f>
        <v>0</v>
      </c>
      <c r="I65" s="38" t="n">
        <f aca="false">IFERROR(SUM('Mid &amp; Assgn - B'!T68:Y68),0)</f>
        <v>0</v>
      </c>
      <c r="J65" s="38" t="n">
        <f aca="false">H65+I65</f>
        <v>0</v>
      </c>
      <c r="K65" s="38" t="n">
        <f aca="false">IFERROR(ROUND(J65/30*15,2),0)</f>
        <v>0</v>
      </c>
      <c r="L65" s="38" t="n">
        <f aca="false">'Mid &amp; Assgn - B'!Z68</f>
        <v>0</v>
      </c>
      <c r="M65" s="38" t="n">
        <f aca="false">'Mid &amp; Assgn - B'!AA68</f>
        <v>0</v>
      </c>
      <c r="N65" s="38" t="n">
        <f aca="false">'Mid &amp; Assgn - B'!AB68</f>
        <v>0</v>
      </c>
      <c r="O65" s="38" t="n">
        <f aca="false">'Mid &amp; Assgn - B'!AC68</f>
        <v>0</v>
      </c>
      <c r="P65" s="38" t="n">
        <f aca="false">'Mid &amp; Assgn - B'!AD68</f>
        <v>0</v>
      </c>
      <c r="Q65" s="38" t="n">
        <f aca="false">'Mid &amp; Assgn - B'!AE68</f>
        <v>0</v>
      </c>
      <c r="R65" s="38" t="n">
        <f aca="false">IF(D65/30&gt;=0.7,3,IF(D65/30&gt;=0.5,2,IF(D65/30&gt;=0.35,1,0)))</f>
        <v>0</v>
      </c>
      <c r="S65" s="38" t="n">
        <f aca="false">IF(E65/30&gt;=0.7,3,IF(E65/30&gt;=0.5,2,IF(E65/30&gt;=0.35,1,0)))</f>
        <v>0</v>
      </c>
      <c r="T65" s="38" t="n">
        <f aca="false">IF(H65/30&gt;=0.7,3,IF(H65/30&gt;=0.5,2,IF(H65/30&gt;=0.35,1,0)))</f>
        <v>0</v>
      </c>
      <c r="U65" s="38" t="n">
        <f aca="false">IF(I65/30&gt;=0.7,3,IF(I65/30&gt;=0.5,2,IF(I65/30&gt;=0.35,1,0)))</f>
        <v>0</v>
      </c>
      <c r="V65" s="38"/>
      <c r="W65" s="38"/>
      <c r="X65" s="38"/>
      <c r="Y65" s="38"/>
      <c r="Z65" s="38" t="n">
        <f aca="false">G65+K65+L65+M65+N65+O65+P65</f>
        <v>0</v>
      </c>
      <c r="AA65" s="38" t="n">
        <f aca="false">IFERROR(AVERAGE(R65:U65),0)</f>
        <v>0</v>
      </c>
    </row>
    <row r="66" customFormat="false" ht="15" hidden="false" customHeight="true" outlineLevel="0" collapsed="false">
      <c r="A66" s="35" t="n">
        <v>53</v>
      </c>
      <c r="B66" s="35" t="n">
        <f aca="false">'Mid &amp; Assgn - B'!B69</f>
        <v>0</v>
      </c>
      <c r="C66" s="35" t="n">
        <f aca="false">'Mid &amp; Assgn - B'!C69</f>
        <v>0</v>
      </c>
      <c r="D66" s="36" t="n">
        <f aca="false">IFERROR(SUM('Mid &amp; Assgn - B'!D69:I69),0)</f>
        <v>0</v>
      </c>
      <c r="E66" s="36" t="n">
        <f aca="false">IFERROR(SUM('Mid &amp; Assgn - B'!J69:M69),0)</f>
        <v>0</v>
      </c>
      <c r="F66" s="36" t="n">
        <f aca="false">D66+E66</f>
        <v>0</v>
      </c>
      <c r="G66" s="36" t="n">
        <f aca="false">IFERROR(ROUND(F66/30*15,2),0)</f>
        <v>0</v>
      </c>
      <c r="H66" s="36" t="n">
        <f aca="false">IFERROR(SUM('Mid &amp; Assgn - B'!N69:S69),0)</f>
        <v>0</v>
      </c>
      <c r="I66" s="36" t="n">
        <f aca="false">IFERROR(SUM('Mid &amp; Assgn - B'!T69:Y69),0)</f>
        <v>0</v>
      </c>
      <c r="J66" s="36" t="n">
        <f aca="false">H66+I66</f>
        <v>0</v>
      </c>
      <c r="K66" s="36" t="n">
        <f aca="false">IFERROR(ROUND(J66/30*15,2),0)</f>
        <v>0</v>
      </c>
      <c r="L66" s="36" t="n">
        <f aca="false">'Mid &amp; Assgn - B'!Z69</f>
        <v>0</v>
      </c>
      <c r="M66" s="36" t="n">
        <f aca="false">'Mid &amp; Assgn - B'!AA69</f>
        <v>0</v>
      </c>
      <c r="N66" s="36" t="n">
        <f aca="false">'Mid &amp; Assgn - B'!AB69</f>
        <v>0</v>
      </c>
      <c r="O66" s="36" t="n">
        <f aca="false">'Mid &amp; Assgn - B'!AC69</f>
        <v>0</v>
      </c>
      <c r="P66" s="36" t="n">
        <f aca="false">'Mid &amp; Assgn - B'!AD69</f>
        <v>0</v>
      </c>
      <c r="Q66" s="36" t="n">
        <f aca="false">'Mid &amp; Assgn - B'!AE69</f>
        <v>0</v>
      </c>
      <c r="R66" s="36" t="n">
        <f aca="false">IF(D66/30&gt;=0.7,3,IF(D66/30&gt;=0.5,2,IF(D66/30&gt;=0.35,1,0)))</f>
        <v>0</v>
      </c>
      <c r="S66" s="36" t="n">
        <f aca="false">IF(E66/30&gt;=0.7,3,IF(E66/30&gt;=0.5,2,IF(E66/30&gt;=0.35,1,0)))</f>
        <v>0</v>
      </c>
      <c r="T66" s="36" t="n">
        <f aca="false">IF(H66/30&gt;=0.7,3,IF(H66/30&gt;=0.5,2,IF(H66/30&gt;=0.35,1,0)))</f>
        <v>0</v>
      </c>
      <c r="U66" s="36" t="n">
        <f aca="false">IF(I66/30&gt;=0.7,3,IF(I66/30&gt;=0.5,2,IF(I66/30&gt;=0.35,1,0)))</f>
        <v>0</v>
      </c>
      <c r="V66" s="36"/>
      <c r="W66" s="36"/>
      <c r="X66" s="36"/>
      <c r="Y66" s="36"/>
      <c r="Z66" s="36" t="n">
        <f aca="false">G66+K66+L66+M66+N66+O66+P66</f>
        <v>0</v>
      </c>
      <c r="AA66" s="36" t="n">
        <f aca="false">IFERROR(AVERAGE(R66:U66),0)</f>
        <v>0</v>
      </c>
    </row>
    <row r="67" customFormat="false" ht="15" hidden="false" customHeight="true" outlineLevel="0" collapsed="false">
      <c r="A67" s="37" t="n">
        <v>54</v>
      </c>
      <c r="B67" s="37" t="n">
        <f aca="false">'Mid &amp; Assgn - B'!B70</f>
        <v>0</v>
      </c>
      <c r="C67" s="37" t="n">
        <f aca="false">'Mid &amp; Assgn - B'!C70</f>
        <v>0</v>
      </c>
      <c r="D67" s="38" t="n">
        <f aca="false">IFERROR(SUM('Mid &amp; Assgn - B'!D70:I70),0)</f>
        <v>0</v>
      </c>
      <c r="E67" s="38" t="n">
        <f aca="false">IFERROR(SUM('Mid &amp; Assgn - B'!J70:M70),0)</f>
        <v>0</v>
      </c>
      <c r="F67" s="38" t="n">
        <f aca="false">D67+E67</f>
        <v>0</v>
      </c>
      <c r="G67" s="38" t="n">
        <f aca="false">IFERROR(ROUND(F67/30*15,2),0)</f>
        <v>0</v>
      </c>
      <c r="H67" s="38" t="n">
        <f aca="false">IFERROR(SUM('Mid &amp; Assgn - B'!N70:S70),0)</f>
        <v>0</v>
      </c>
      <c r="I67" s="38" t="n">
        <f aca="false">IFERROR(SUM('Mid &amp; Assgn - B'!T70:Y70),0)</f>
        <v>0</v>
      </c>
      <c r="J67" s="38" t="n">
        <f aca="false">H67+I67</f>
        <v>0</v>
      </c>
      <c r="K67" s="38" t="n">
        <f aca="false">IFERROR(ROUND(J67/30*15,2),0)</f>
        <v>0</v>
      </c>
      <c r="L67" s="38" t="n">
        <f aca="false">'Mid &amp; Assgn - B'!Z70</f>
        <v>0</v>
      </c>
      <c r="M67" s="38" t="n">
        <f aca="false">'Mid &amp; Assgn - B'!AA70</f>
        <v>0</v>
      </c>
      <c r="N67" s="38" t="n">
        <f aca="false">'Mid &amp; Assgn - B'!AB70</f>
        <v>0</v>
      </c>
      <c r="O67" s="38" t="n">
        <f aca="false">'Mid &amp; Assgn - B'!AC70</f>
        <v>0</v>
      </c>
      <c r="P67" s="38" t="n">
        <f aca="false">'Mid &amp; Assgn - B'!AD70</f>
        <v>0</v>
      </c>
      <c r="Q67" s="38" t="n">
        <f aca="false">'Mid &amp; Assgn - B'!AE70</f>
        <v>0</v>
      </c>
      <c r="R67" s="38" t="n">
        <f aca="false">IF(D67/30&gt;=0.7,3,IF(D67/30&gt;=0.5,2,IF(D67/30&gt;=0.35,1,0)))</f>
        <v>0</v>
      </c>
      <c r="S67" s="38" t="n">
        <f aca="false">IF(E67/30&gt;=0.7,3,IF(E67/30&gt;=0.5,2,IF(E67/30&gt;=0.35,1,0)))</f>
        <v>0</v>
      </c>
      <c r="T67" s="38" t="n">
        <f aca="false">IF(H67/30&gt;=0.7,3,IF(H67/30&gt;=0.5,2,IF(H67/30&gt;=0.35,1,0)))</f>
        <v>0</v>
      </c>
      <c r="U67" s="38" t="n">
        <f aca="false">IF(I67/30&gt;=0.7,3,IF(I67/30&gt;=0.5,2,IF(I67/30&gt;=0.35,1,0)))</f>
        <v>0</v>
      </c>
      <c r="V67" s="38"/>
      <c r="W67" s="38"/>
      <c r="X67" s="38"/>
      <c r="Y67" s="38"/>
      <c r="Z67" s="38" t="n">
        <f aca="false">G67+K67+L67+M67+N67+O67+P67</f>
        <v>0</v>
      </c>
      <c r="AA67" s="38" t="n">
        <f aca="false">IFERROR(AVERAGE(R67:U67),0)</f>
        <v>0</v>
      </c>
    </row>
    <row r="68" customFormat="false" ht="15" hidden="false" customHeight="true" outlineLevel="0" collapsed="false">
      <c r="A68" s="35" t="n">
        <v>55</v>
      </c>
      <c r="B68" s="35" t="n">
        <f aca="false">'Mid &amp; Assgn - B'!B71</f>
        <v>0</v>
      </c>
      <c r="C68" s="35" t="n">
        <f aca="false">'Mid &amp; Assgn - B'!C71</f>
        <v>0</v>
      </c>
      <c r="D68" s="36" t="n">
        <f aca="false">IFERROR(SUM('Mid &amp; Assgn - B'!D71:I71),0)</f>
        <v>0</v>
      </c>
      <c r="E68" s="36" t="n">
        <f aca="false">IFERROR(SUM('Mid &amp; Assgn - B'!J71:M71),0)</f>
        <v>0</v>
      </c>
      <c r="F68" s="36" t="n">
        <f aca="false">D68+E68</f>
        <v>0</v>
      </c>
      <c r="G68" s="36" t="n">
        <f aca="false">IFERROR(ROUND(F68/30*15,2),0)</f>
        <v>0</v>
      </c>
      <c r="H68" s="36" t="n">
        <f aca="false">IFERROR(SUM('Mid &amp; Assgn - B'!N71:S71),0)</f>
        <v>0</v>
      </c>
      <c r="I68" s="36" t="n">
        <f aca="false">IFERROR(SUM('Mid &amp; Assgn - B'!T71:Y71),0)</f>
        <v>0</v>
      </c>
      <c r="J68" s="36" t="n">
        <f aca="false">H68+I68</f>
        <v>0</v>
      </c>
      <c r="K68" s="36" t="n">
        <f aca="false">IFERROR(ROUND(J68/30*15,2),0)</f>
        <v>0</v>
      </c>
      <c r="L68" s="36" t="n">
        <f aca="false">'Mid &amp; Assgn - B'!Z71</f>
        <v>0</v>
      </c>
      <c r="M68" s="36" t="n">
        <f aca="false">'Mid &amp; Assgn - B'!AA71</f>
        <v>0</v>
      </c>
      <c r="N68" s="36" t="n">
        <f aca="false">'Mid &amp; Assgn - B'!AB71</f>
        <v>0</v>
      </c>
      <c r="O68" s="36" t="n">
        <f aca="false">'Mid &amp; Assgn - B'!AC71</f>
        <v>0</v>
      </c>
      <c r="P68" s="36" t="n">
        <f aca="false">'Mid &amp; Assgn - B'!AD71</f>
        <v>0</v>
      </c>
      <c r="Q68" s="36" t="n">
        <f aca="false">'Mid &amp; Assgn - B'!AE71</f>
        <v>0</v>
      </c>
      <c r="R68" s="36" t="n">
        <f aca="false">IF(D68/30&gt;=0.7,3,IF(D68/30&gt;=0.5,2,IF(D68/30&gt;=0.35,1,0)))</f>
        <v>0</v>
      </c>
      <c r="S68" s="36" t="n">
        <f aca="false">IF(E68/30&gt;=0.7,3,IF(E68/30&gt;=0.5,2,IF(E68/30&gt;=0.35,1,0)))</f>
        <v>0</v>
      </c>
      <c r="T68" s="36" t="n">
        <f aca="false">IF(H68/30&gt;=0.7,3,IF(H68/30&gt;=0.5,2,IF(H68/30&gt;=0.35,1,0)))</f>
        <v>0</v>
      </c>
      <c r="U68" s="36" t="n">
        <f aca="false">IF(I68/30&gt;=0.7,3,IF(I68/30&gt;=0.5,2,IF(I68/30&gt;=0.35,1,0)))</f>
        <v>0</v>
      </c>
      <c r="V68" s="36"/>
      <c r="W68" s="36"/>
      <c r="X68" s="36"/>
      <c r="Y68" s="36"/>
      <c r="Z68" s="36" t="n">
        <f aca="false">G68+K68+L68+M68+N68+O68+P68</f>
        <v>0</v>
      </c>
      <c r="AA68" s="36" t="n">
        <f aca="false">IFERROR(AVERAGE(R68:U68),0)</f>
        <v>0</v>
      </c>
    </row>
    <row r="69" customFormat="false" ht="15" hidden="false" customHeight="true" outlineLevel="0" collapsed="false">
      <c r="A69" s="37" t="n">
        <v>56</v>
      </c>
      <c r="B69" s="37" t="n">
        <f aca="false">'Mid &amp; Assgn - B'!B72</f>
        <v>0</v>
      </c>
      <c r="C69" s="37" t="n">
        <f aca="false">'Mid &amp; Assgn - B'!C72</f>
        <v>0</v>
      </c>
      <c r="D69" s="38" t="n">
        <f aca="false">IFERROR(SUM('Mid &amp; Assgn - B'!D72:I72),0)</f>
        <v>0</v>
      </c>
      <c r="E69" s="38" t="n">
        <f aca="false">IFERROR(SUM('Mid &amp; Assgn - B'!J72:M72),0)</f>
        <v>0</v>
      </c>
      <c r="F69" s="38" t="n">
        <f aca="false">D69+E69</f>
        <v>0</v>
      </c>
      <c r="G69" s="38" t="n">
        <f aca="false">IFERROR(ROUND(F69/30*15,2),0)</f>
        <v>0</v>
      </c>
      <c r="H69" s="38" t="n">
        <f aca="false">IFERROR(SUM('Mid &amp; Assgn - B'!N72:S72),0)</f>
        <v>0</v>
      </c>
      <c r="I69" s="38" t="n">
        <f aca="false">IFERROR(SUM('Mid &amp; Assgn - B'!T72:Y72),0)</f>
        <v>0</v>
      </c>
      <c r="J69" s="38" t="n">
        <f aca="false">H69+I69</f>
        <v>0</v>
      </c>
      <c r="K69" s="38" t="n">
        <f aca="false">IFERROR(ROUND(J69/30*15,2),0)</f>
        <v>0</v>
      </c>
      <c r="L69" s="38" t="n">
        <f aca="false">'Mid &amp; Assgn - B'!Z72</f>
        <v>0</v>
      </c>
      <c r="M69" s="38" t="n">
        <f aca="false">'Mid &amp; Assgn - B'!AA72</f>
        <v>0</v>
      </c>
      <c r="N69" s="38" t="n">
        <f aca="false">'Mid &amp; Assgn - B'!AB72</f>
        <v>0</v>
      </c>
      <c r="O69" s="38" t="n">
        <f aca="false">'Mid &amp; Assgn - B'!AC72</f>
        <v>0</v>
      </c>
      <c r="P69" s="38" t="n">
        <f aca="false">'Mid &amp; Assgn - B'!AD72</f>
        <v>0</v>
      </c>
      <c r="Q69" s="38" t="n">
        <f aca="false">'Mid &amp; Assgn - B'!AE72</f>
        <v>0</v>
      </c>
      <c r="R69" s="38" t="n">
        <f aca="false">IF(D69/30&gt;=0.7,3,IF(D69/30&gt;=0.5,2,IF(D69/30&gt;=0.35,1,0)))</f>
        <v>0</v>
      </c>
      <c r="S69" s="38" t="n">
        <f aca="false">IF(E69/30&gt;=0.7,3,IF(E69/30&gt;=0.5,2,IF(E69/30&gt;=0.35,1,0)))</f>
        <v>0</v>
      </c>
      <c r="T69" s="38" t="n">
        <f aca="false">IF(H69/30&gt;=0.7,3,IF(H69/30&gt;=0.5,2,IF(H69/30&gt;=0.35,1,0)))</f>
        <v>0</v>
      </c>
      <c r="U69" s="38" t="n">
        <f aca="false">IF(I69/30&gt;=0.7,3,IF(I69/30&gt;=0.5,2,IF(I69/30&gt;=0.35,1,0)))</f>
        <v>0</v>
      </c>
      <c r="V69" s="38"/>
      <c r="W69" s="38"/>
      <c r="X69" s="38"/>
      <c r="Y69" s="38"/>
      <c r="Z69" s="38" t="n">
        <f aca="false">G69+K69+L69+M69+N69+O69+P69</f>
        <v>0</v>
      </c>
      <c r="AA69" s="38" t="n">
        <f aca="false">IFERROR(AVERAGE(R69:U69),0)</f>
        <v>0</v>
      </c>
    </row>
    <row r="70" customFormat="false" ht="15" hidden="false" customHeight="true" outlineLevel="0" collapsed="false">
      <c r="A70" s="35" t="n">
        <v>57</v>
      </c>
      <c r="B70" s="35" t="n">
        <f aca="false">'Mid &amp; Assgn - B'!B73</f>
        <v>0</v>
      </c>
      <c r="C70" s="35" t="n">
        <f aca="false">'Mid &amp; Assgn - B'!C73</f>
        <v>0</v>
      </c>
      <c r="D70" s="36" t="n">
        <f aca="false">IFERROR(SUM('Mid &amp; Assgn - B'!D73:I73),0)</f>
        <v>0</v>
      </c>
      <c r="E70" s="36" t="n">
        <f aca="false">IFERROR(SUM('Mid &amp; Assgn - B'!J73:M73),0)</f>
        <v>0</v>
      </c>
      <c r="F70" s="36" t="n">
        <f aca="false">D70+E70</f>
        <v>0</v>
      </c>
      <c r="G70" s="36" t="n">
        <f aca="false">IFERROR(ROUND(F70/30*15,2),0)</f>
        <v>0</v>
      </c>
      <c r="H70" s="36" t="n">
        <f aca="false">IFERROR(SUM('Mid &amp; Assgn - B'!N73:S73),0)</f>
        <v>0</v>
      </c>
      <c r="I70" s="36" t="n">
        <f aca="false">IFERROR(SUM('Mid &amp; Assgn - B'!T73:Y73),0)</f>
        <v>0</v>
      </c>
      <c r="J70" s="36" t="n">
        <f aca="false">H70+I70</f>
        <v>0</v>
      </c>
      <c r="K70" s="36" t="n">
        <f aca="false">IFERROR(ROUND(J70/30*15,2),0)</f>
        <v>0</v>
      </c>
      <c r="L70" s="36" t="n">
        <f aca="false">'Mid &amp; Assgn - B'!Z73</f>
        <v>0</v>
      </c>
      <c r="M70" s="36" t="n">
        <f aca="false">'Mid &amp; Assgn - B'!AA73</f>
        <v>0</v>
      </c>
      <c r="N70" s="36" t="n">
        <f aca="false">'Mid &amp; Assgn - B'!AB73</f>
        <v>0</v>
      </c>
      <c r="O70" s="36" t="n">
        <f aca="false">'Mid &amp; Assgn - B'!AC73</f>
        <v>0</v>
      </c>
      <c r="P70" s="36" t="n">
        <f aca="false">'Mid &amp; Assgn - B'!AD73</f>
        <v>0</v>
      </c>
      <c r="Q70" s="36" t="n">
        <f aca="false">'Mid &amp; Assgn - B'!AE73</f>
        <v>0</v>
      </c>
      <c r="R70" s="36" t="n">
        <f aca="false">IF(D70/30&gt;=0.7,3,IF(D70/30&gt;=0.5,2,IF(D70/30&gt;=0.35,1,0)))</f>
        <v>0</v>
      </c>
      <c r="S70" s="36" t="n">
        <f aca="false">IF(E70/30&gt;=0.7,3,IF(E70/30&gt;=0.5,2,IF(E70/30&gt;=0.35,1,0)))</f>
        <v>0</v>
      </c>
      <c r="T70" s="36" t="n">
        <f aca="false">IF(H70/30&gt;=0.7,3,IF(H70/30&gt;=0.5,2,IF(H70/30&gt;=0.35,1,0)))</f>
        <v>0</v>
      </c>
      <c r="U70" s="36" t="n">
        <f aca="false">IF(I70/30&gt;=0.7,3,IF(I70/30&gt;=0.5,2,IF(I70/30&gt;=0.35,1,0)))</f>
        <v>0</v>
      </c>
      <c r="V70" s="36"/>
      <c r="W70" s="36"/>
      <c r="X70" s="36"/>
      <c r="Y70" s="36"/>
      <c r="Z70" s="36" t="n">
        <f aca="false">G70+K70+L70+M70+N70+O70+P70</f>
        <v>0</v>
      </c>
      <c r="AA70" s="36" t="n">
        <f aca="false">IFERROR(AVERAGE(R70:U70),0)</f>
        <v>0</v>
      </c>
    </row>
    <row r="71" customFormat="false" ht="15" hidden="false" customHeight="true" outlineLevel="0" collapsed="false">
      <c r="A71" s="37" t="n">
        <v>58</v>
      </c>
      <c r="B71" s="37" t="n">
        <f aca="false">'Mid &amp; Assgn - B'!B74</f>
        <v>0</v>
      </c>
      <c r="C71" s="37" t="n">
        <f aca="false">'Mid &amp; Assgn - B'!C74</f>
        <v>0</v>
      </c>
      <c r="D71" s="38" t="n">
        <f aca="false">IFERROR(SUM('Mid &amp; Assgn - B'!D74:I74),0)</f>
        <v>0</v>
      </c>
      <c r="E71" s="38" t="n">
        <f aca="false">IFERROR(SUM('Mid &amp; Assgn - B'!J74:M74),0)</f>
        <v>0</v>
      </c>
      <c r="F71" s="38" t="n">
        <f aca="false">D71+E71</f>
        <v>0</v>
      </c>
      <c r="G71" s="38" t="n">
        <f aca="false">IFERROR(ROUND(F71/30*15,2),0)</f>
        <v>0</v>
      </c>
      <c r="H71" s="38" t="n">
        <f aca="false">IFERROR(SUM('Mid &amp; Assgn - B'!N74:S74),0)</f>
        <v>0</v>
      </c>
      <c r="I71" s="38" t="n">
        <f aca="false">IFERROR(SUM('Mid &amp; Assgn - B'!T74:Y74),0)</f>
        <v>0</v>
      </c>
      <c r="J71" s="38" t="n">
        <f aca="false">H71+I71</f>
        <v>0</v>
      </c>
      <c r="K71" s="38" t="n">
        <f aca="false">IFERROR(ROUND(J71/30*15,2),0)</f>
        <v>0</v>
      </c>
      <c r="L71" s="38" t="n">
        <f aca="false">'Mid &amp; Assgn - B'!Z74</f>
        <v>0</v>
      </c>
      <c r="M71" s="38" t="n">
        <f aca="false">'Mid &amp; Assgn - B'!AA74</f>
        <v>0</v>
      </c>
      <c r="N71" s="38" t="n">
        <f aca="false">'Mid &amp; Assgn - B'!AB74</f>
        <v>0</v>
      </c>
      <c r="O71" s="38" t="n">
        <f aca="false">'Mid &amp; Assgn - B'!AC74</f>
        <v>0</v>
      </c>
      <c r="P71" s="38" t="n">
        <f aca="false">'Mid &amp; Assgn - B'!AD74</f>
        <v>0</v>
      </c>
      <c r="Q71" s="38" t="n">
        <f aca="false">'Mid &amp; Assgn - B'!AE74</f>
        <v>0</v>
      </c>
      <c r="R71" s="38" t="n">
        <f aca="false">IF(D71/30&gt;=0.7,3,IF(D71/30&gt;=0.5,2,IF(D71/30&gt;=0.35,1,0)))</f>
        <v>0</v>
      </c>
      <c r="S71" s="38" t="n">
        <f aca="false">IF(E71/30&gt;=0.7,3,IF(E71/30&gt;=0.5,2,IF(E71/30&gt;=0.35,1,0)))</f>
        <v>0</v>
      </c>
      <c r="T71" s="38" t="n">
        <f aca="false">IF(H71/30&gt;=0.7,3,IF(H71/30&gt;=0.5,2,IF(H71/30&gt;=0.35,1,0)))</f>
        <v>0</v>
      </c>
      <c r="U71" s="38" t="n">
        <f aca="false">IF(I71/30&gt;=0.7,3,IF(I71/30&gt;=0.5,2,IF(I71/30&gt;=0.35,1,0)))</f>
        <v>0</v>
      </c>
      <c r="V71" s="38"/>
      <c r="W71" s="38"/>
      <c r="X71" s="38"/>
      <c r="Y71" s="38"/>
      <c r="Z71" s="38" t="n">
        <f aca="false">G71+K71+L71+M71+N71+O71+P71</f>
        <v>0</v>
      </c>
      <c r="AA71" s="38" t="n">
        <f aca="false">IFERROR(AVERAGE(R71:U71),0)</f>
        <v>0</v>
      </c>
    </row>
    <row r="72" customFormat="false" ht="15" hidden="false" customHeight="true" outlineLevel="0" collapsed="false">
      <c r="A72" s="35" t="n">
        <v>59</v>
      </c>
      <c r="B72" s="35" t="n">
        <f aca="false">'Mid &amp; Assgn - B'!B75</f>
        <v>0</v>
      </c>
      <c r="C72" s="35" t="n">
        <f aca="false">'Mid &amp; Assgn - B'!C75</f>
        <v>0</v>
      </c>
      <c r="D72" s="36" t="n">
        <f aca="false">IFERROR(SUM('Mid &amp; Assgn - B'!D75:I75),0)</f>
        <v>0</v>
      </c>
      <c r="E72" s="36" t="n">
        <f aca="false">IFERROR(SUM('Mid &amp; Assgn - B'!J75:M75),0)</f>
        <v>0</v>
      </c>
      <c r="F72" s="36" t="n">
        <f aca="false">D72+E72</f>
        <v>0</v>
      </c>
      <c r="G72" s="36" t="n">
        <f aca="false">IFERROR(ROUND(F72/30*15,2),0)</f>
        <v>0</v>
      </c>
      <c r="H72" s="36" t="n">
        <f aca="false">IFERROR(SUM('Mid &amp; Assgn - B'!N75:S75),0)</f>
        <v>0</v>
      </c>
      <c r="I72" s="36" t="n">
        <f aca="false">IFERROR(SUM('Mid &amp; Assgn - B'!T75:Y75),0)</f>
        <v>0</v>
      </c>
      <c r="J72" s="36" t="n">
        <f aca="false">H72+I72</f>
        <v>0</v>
      </c>
      <c r="K72" s="36" t="n">
        <f aca="false">IFERROR(ROUND(J72/30*15,2),0)</f>
        <v>0</v>
      </c>
      <c r="L72" s="36" t="n">
        <f aca="false">'Mid &amp; Assgn - B'!Z75</f>
        <v>0</v>
      </c>
      <c r="M72" s="36" t="n">
        <f aca="false">'Mid &amp; Assgn - B'!AA75</f>
        <v>0</v>
      </c>
      <c r="N72" s="36" t="n">
        <f aca="false">'Mid &amp; Assgn - B'!AB75</f>
        <v>0</v>
      </c>
      <c r="O72" s="36" t="n">
        <f aca="false">'Mid &amp; Assgn - B'!AC75</f>
        <v>0</v>
      </c>
      <c r="P72" s="36" t="n">
        <f aca="false">'Mid &amp; Assgn - B'!AD75</f>
        <v>0</v>
      </c>
      <c r="Q72" s="36" t="n">
        <f aca="false">'Mid &amp; Assgn - B'!AE75</f>
        <v>0</v>
      </c>
      <c r="R72" s="36" t="n">
        <f aca="false">IF(D72/30&gt;=0.7,3,IF(D72/30&gt;=0.5,2,IF(D72/30&gt;=0.35,1,0)))</f>
        <v>0</v>
      </c>
      <c r="S72" s="36" t="n">
        <f aca="false">IF(E72/30&gt;=0.7,3,IF(E72/30&gt;=0.5,2,IF(E72/30&gt;=0.35,1,0)))</f>
        <v>0</v>
      </c>
      <c r="T72" s="36" t="n">
        <f aca="false">IF(H72/30&gt;=0.7,3,IF(H72/30&gt;=0.5,2,IF(H72/30&gt;=0.35,1,0)))</f>
        <v>0</v>
      </c>
      <c r="U72" s="36" t="n">
        <f aca="false">IF(I72/30&gt;=0.7,3,IF(I72/30&gt;=0.5,2,IF(I72/30&gt;=0.35,1,0)))</f>
        <v>0</v>
      </c>
      <c r="V72" s="36"/>
      <c r="W72" s="36"/>
      <c r="X72" s="36"/>
      <c r="Y72" s="36"/>
      <c r="Z72" s="36" t="n">
        <f aca="false">G72+K72+L72+M72+N72+O72+P72</f>
        <v>0</v>
      </c>
      <c r="AA72" s="36" t="n">
        <f aca="false">IFERROR(AVERAGE(R72:U72),0)</f>
        <v>0</v>
      </c>
    </row>
    <row r="73" customFormat="false" ht="15" hidden="false" customHeight="true" outlineLevel="0" collapsed="false">
      <c r="A73" s="37" t="n">
        <v>60</v>
      </c>
      <c r="B73" s="37" t="n">
        <f aca="false">'Mid &amp; Assgn - B'!B76</f>
        <v>0</v>
      </c>
      <c r="C73" s="37" t="n">
        <f aca="false">'Mid &amp; Assgn - B'!C76</f>
        <v>0</v>
      </c>
      <c r="D73" s="38" t="n">
        <f aca="false">IFERROR(SUM('Mid &amp; Assgn - B'!D76:I76),0)</f>
        <v>0</v>
      </c>
      <c r="E73" s="38" t="n">
        <f aca="false">IFERROR(SUM('Mid &amp; Assgn - B'!J76:M76),0)</f>
        <v>0</v>
      </c>
      <c r="F73" s="38" t="n">
        <f aca="false">D73+E73</f>
        <v>0</v>
      </c>
      <c r="G73" s="38" t="n">
        <f aca="false">IFERROR(ROUND(F73/30*15,2),0)</f>
        <v>0</v>
      </c>
      <c r="H73" s="38" t="n">
        <f aca="false">IFERROR(SUM('Mid &amp; Assgn - B'!N76:S76),0)</f>
        <v>0</v>
      </c>
      <c r="I73" s="38" t="n">
        <f aca="false">IFERROR(SUM('Mid &amp; Assgn - B'!T76:Y76),0)</f>
        <v>0</v>
      </c>
      <c r="J73" s="38" t="n">
        <f aca="false">H73+I73</f>
        <v>0</v>
      </c>
      <c r="K73" s="38" t="n">
        <f aca="false">IFERROR(ROUND(J73/30*15,2),0)</f>
        <v>0</v>
      </c>
      <c r="L73" s="38" t="n">
        <f aca="false">'Mid &amp; Assgn - B'!Z76</f>
        <v>0</v>
      </c>
      <c r="M73" s="38" t="n">
        <f aca="false">'Mid &amp; Assgn - B'!AA76</f>
        <v>0</v>
      </c>
      <c r="N73" s="38" t="n">
        <f aca="false">'Mid &amp; Assgn - B'!AB76</f>
        <v>0</v>
      </c>
      <c r="O73" s="38" t="n">
        <f aca="false">'Mid &amp; Assgn - B'!AC76</f>
        <v>0</v>
      </c>
      <c r="P73" s="38" t="n">
        <f aca="false">'Mid &amp; Assgn - B'!AD76</f>
        <v>0</v>
      </c>
      <c r="Q73" s="38" t="n">
        <f aca="false">'Mid &amp; Assgn - B'!AE76</f>
        <v>0</v>
      </c>
      <c r="R73" s="38" t="n">
        <f aca="false">IF(D73/30&gt;=0.7,3,IF(D73/30&gt;=0.5,2,IF(D73/30&gt;=0.35,1,0)))</f>
        <v>0</v>
      </c>
      <c r="S73" s="38" t="n">
        <f aca="false">IF(E73/30&gt;=0.7,3,IF(E73/30&gt;=0.5,2,IF(E73/30&gt;=0.35,1,0)))</f>
        <v>0</v>
      </c>
      <c r="T73" s="38" t="n">
        <f aca="false">IF(H73/30&gt;=0.7,3,IF(H73/30&gt;=0.5,2,IF(H73/30&gt;=0.35,1,0)))</f>
        <v>0</v>
      </c>
      <c r="U73" s="38" t="n">
        <f aca="false">IF(I73/30&gt;=0.7,3,IF(I73/30&gt;=0.5,2,IF(I73/30&gt;=0.35,1,0)))</f>
        <v>0</v>
      </c>
      <c r="V73" s="38"/>
      <c r="W73" s="38"/>
      <c r="X73" s="38"/>
      <c r="Y73" s="38"/>
      <c r="Z73" s="38" t="n">
        <f aca="false">G73+K73+L73+M73+N73+O73+P73</f>
        <v>0</v>
      </c>
      <c r="AA73" s="38" t="n">
        <f aca="false">IFERROR(AVERAGE(R73:U73),0)</f>
        <v>0</v>
      </c>
    </row>
    <row r="74" customFormat="false" ht="15" hidden="false" customHeight="true" outlineLevel="0" collapsed="false">
      <c r="A74" s="35" t="n">
        <v>61</v>
      </c>
      <c r="B74" s="35" t="n">
        <f aca="false">'Mid &amp; Assgn - B'!B77</f>
        <v>0</v>
      </c>
      <c r="C74" s="35" t="n">
        <f aca="false">'Mid &amp; Assgn - B'!C77</f>
        <v>0</v>
      </c>
      <c r="D74" s="36" t="n">
        <f aca="false">IFERROR(SUM('Mid &amp; Assgn - B'!D77:I77),0)</f>
        <v>0</v>
      </c>
      <c r="E74" s="36" t="n">
        <f aca="false">IFERROR(SUM('Mid &amp; Assgn - B'!J77:M77),0)</f>
        <v>0</v>
      </c>
      <c r="F74" s="36" t="n">
        <f aca="false">D74+E74</f>
        <v>0</v>
      </c>
      <c r="G74" s="36" t="n">
        <f aca="false">IFERROR(ROUND(F74/30*15,2),0)</f>
        <v>0</v>
      </c>
      <c r="H74" s="36" t="n">
        <f aca="false">IFERROR(SUM('Mid &amp; Assgn - B'!N77:S77),0)</f>
        <v>0</v>
      </c>
      <c r="I74" s="36" t="n">
        <f aca="false">IFERROR(SUM('Mid &amp; Assgn - B'!T77:Y77),0)</f>
        <v>0</v>
      </c>
      <c r="J74" s="36" t="n">
        <f aca="false">H74+I74</f>
        <v>0</v>
      </c>
      <c r="K74" s="36" t="n">
        <f aca="false">IFERROR(ROUND(J74/30*15,2),0)</f>
        <v>0</v>
      </c>
      <c r="L74" s="36" t="n">
        <f aca="false">'Mid &amp; Assgn - B'!Z77</f>
        <v>0</v>
      </c>
      <c r="M74" s="36" t="n">
        <f aca="false">'Mid &amp; Assgn - B'!AA77</f>
        <v>0</v>
      </c>
      <c r="N74" s="36" t="n">
        <f aca="false">'Mid &amp; Assgn - B'!AB77</f>
        <v>0</v>
      </c>
      <c r="O74" s="36" t="n">
        <f aca="false">'Mid &amp; Assgn - B'!AC77</f>
        <v>0</v>
      </c>
      <c r="P74" s="36" t="n">
        <f aca="false">'Mid &amp; Assgn - B'!AD77</f>
        <v>0</v>
      </c>
      <c r="Q74" s="36" t="n">
        <f aca="false">'Mid &amp; Assgn - B'!AE77</f>
        <v>0</v>
      </c>
      <c r="R74" s="36" t="n">
        <f aca="false">IF(D74/30&gt;=0.7,3,IF(D74/30&gt;=0.5,2,IF(D74/30&gt;=0.35,1,0)))</f>
        <v>0</v>
      </c>
      <c r="S74" s="36" t="n">
        <f aca="false">IF(E74/30&gt;=0.7,3,IF(E74/30&gt;=0.5,2,IF(E74/30&gt;=0.35,1,0)))</f>
        <v>0</v>
      </c>
      <c r="T74" s="36" t="n">
        <f aca="false">IF(H74/30&gt;=0.7,3,IF(H74/30&gt;=0.5,2,IF(H74/30&gt;=0.35,1,0)))</f>
        <v>0</v>
      </c>
      <c r="U74" s="36" t="n">
        <f aca="false">IF(I74/30&gt;=0.7,3,IF(I74/30&gt;=0.5,2,IF(I74/30&gt;=0.35,1,0)))</f>
        <v>0</v>
      </c>
      <c r="V74" s="36"/>
      <c r="W74" s="36"/>
      <c r="X74" s="36"/>
      <c r="Y74" s="36"/>
      <c r="Z74" s="36" t="n">
        <f aca="false">G74+K74+L74+M74+N74+O74+P74</f>
        <v>0</v>
      </c>
      <c r="AA74" s="36" t="n">
        <f aca="false">IFERROR(AVERAGE(R74:U74),0)</f>
        <v>0</v>
      </c>
    </row>
    <row r="75" customFormat="false" ht="15" hidden="false" customHeight="true" outlineLevel="0" collapsed="false">
      <c r="A75" s="37" t="n">
        <v>62</v>
      </c>
      <c r="B75" s="37" t="n">
        <f aca="false">'Mid &amp; Assgn - B'!B78</f>
        <v>0</v>
      </c>
      <c r="C75" s="37" t="n">
        <f aca="false">'Mid &amp; Assgn - B'!C78</f>
        <v>0</v>
      </c>
      <c r="D75" s="38" t="n">
        <f aca="false">IFERROR(SUM('Mid &amp; Assgn - B'!D78:I78),0)</f>
        <v>0</v>
      </c>
      <c r="E75" s="38" t="n">
        <f aca="false">IFERROR(SUM('Mid &amp; Assgn - B'!J78:M78),0)</f>
        <v>0</v>
      </c>
      <c r="F75" s="38" t="n">
        <f aca="false">D75+E75</f>
        <v>0</v>
      </c>
      <c r="G75" s="38" t="n">
        <f aca="false">IFERROR(ROUND(F75/30*15,2),0)</f>
        <v>0</v>
      </c>
      <c r="H75" s="38" t="n">
        <f aca="false">IFERROR(SUM('Mid &amp; Assgn - B'!N78:S78),0)</f>
        <v>0</v>
      </c>
      <c r="I75" s="38" t="n">
        <f aca="false">IFERROR(SUM('Mid &amp; Assgn - B'!T78:Y78),0)</f>
        <v>0</v>
      </c>
      <c r="J75" s="38" t="n">
        <f aca="false">H75+I75</f>
        <v>0</v>
      </c>
      <c r="K75" s="38" t="n">
        <f aca="false">IFERROR(ROUND(J75/30*15,2),0)</f>
        <v>0</v>
      </c>
      <c r="L75" s="38" t="n">
        <f aca="false">'Mid &amp; Assgn - B'!Z78</f>
        <v>0</v>
      </c>
      <c r="M75" s="38" t="n">
        <f aca="false">'Mid &amp; Assgn - B'!AA78</f>
        <v>0</v>
      </c>
      <c r="N75" s="38" t="n">
        <f aca="false">'Mid &amp; Assgn - B'!AB78</f>
        <v>0</v>
      </c>
      <c r="O75" s="38" t="n">
        <f aca="false">'Mid &amp; Assgn - B'!AC78</f>
        <v>0</v>
      </c>
      <c r="P75" s="38" t="n">
        <f aca="false">'Mid &amp; Assgn - B'!AD78</f>
        <v>0</v>
      </c>
      <c r="Q75" s="38" t="n">
        <f aca="false">'Mid &amp; Assgn - B'!AE78</f>
        <v>0</v>
      </c>
      <c r="R75" s="38" t="n">
        <f aca="false">IF(D75/30&gt;=0.7,3,IF(D75/30&gt;=0.5,2,IF(D75/30&gt;=0.35,1,0)))</f>
        <v>0</v>
      </c>
      <c r="S75" s="38" t="n">
        <f aca="false">IF(E75/30&gt;=0.7,3,IF(E75/30&gt;=0.5,2,IF(E75/30&gt;=0.35,1,0)))</f>
        <v>0</v>
      </c>
      <c r="T75" s="38" t="n">
        <f aca="false">IF(H75/30&gt;=0.7,3,IF(H75/30&gt;=0.5,2,IF(H75/30&gt;=0.35,1,0)))</f>
        <v>0</v>
      </c>
      <c r="U75" s="38" t="n">
        <f aca="false">IF(I75/30&gt;=0.7,3,IF(I75/30&gt;=0.5,2,IF(I75/30&gt;=0.35,1,0)))</f>
        <v>0</v>
      </c>
      <c r="V75" s="38"/>
      <c r="W75" s="38"/>
      <c r="X75" s="38"/>
      <c r="Y75" s="38"/>
      <c r="Z75" s="38" t="n">
        <f aca="false">G75+K75+L75+M75+N75+O75+P75</f>
        <v>0</v>
      </c>
      <c r="AA75" s="38" t="n">
        <f aca="false">IFERROR(AVERAGE(R75:U75),0)</f>
        <v>0</v>
      </c>
    </row>
    <row r="76" customFormat="false" ht="15" hidden="false" customHeight="true" outlineLevel="0" collapsed="false">
      <c r="A76" s="35" t="n">
        <v>63</v>
      </c>
      <c r="B76" s="35" t="n">
        <f aca="false">'Mid &amp; Assgn - B'!B79</f>
        <v>0</v>
      </c>
      <c r="C76" s="35" t="n">
        <f aca="false">'Mid &amp; Assgn - B'!C79</f>
        <v>0</v>
      </c>
      <c r="D76" s="36" t="n">
        <f aca="false">IFERROR(SUM('Mid &amp; Assgn - B'!D79:I79),0)</f>
        <v>0</v>
      </c>
      <c r="E76" s="36" t="n">
        <f aca="false">IFERROR(SUM('Mid &amp; Assgn - B'!J79:M79),0)</f>
        <v>0</v>
      </c>
      <c r="F76" s="36" t="n">
        <f aca="false">D76+E76</f>
        <v>0</v>
      </c>
      <c r="G76" s="36" t="n">
        <f aca="false">IFERROR(ROUND(F76/30*15,2),0)</f>
        <v>0</v>
      </c>
      <c r="H76" s="36" t="n">
        <f aca="false">IFERROR(SUM('Mid &amp; Assgn - B'!N79:S79),0)</f>
        <v>0</v>
      </c>
      <c r="I76" s="36" t="n">
        <f aca="false">IFERROR(SUM('Mid &amp; Assgn - B'!T79:Y79),0)</f>
        <v>0</v>
      </c>
      <c r="J76" s="36" t="n">
        <f aca="false">H76+I76</f>
        <v>0</v>
      </c>
      <c r="K76" s="36" t="n">
        <f aca="false">IFERROR(ROUND(J76/30*15,2),0)</f>
        <v>0</v>
      </c>
      <c r="L76" s="36" t="n">
        <f aca="false">'Mid &amp; Assgn - B'!Z79</f>
        <v>0</v>
      </c>
      <c r="M76" s="36" t="n">
        <f aca="false">'Mid &amp; Assgn - B'!AA79</f>
        <v>0</v>
      </c>
      <c r="N76" s="36" t="n">
        <f aca="false">'Mid &amp; Assgn - B'!AB79</f>
        <v>0</v>
      </c>
      <c r="O76" s="36" t="n">
        <f aca="false">'Mid &amp; Assgn - B'!AC79</f>
        <v>0</v>
      </c>
      <c r="P76" s="36" t="n">
        <f aca="false">'Mid &amp; Assgn - B'!AD79</f>
        <v>0</v>
      </c>
      <c r="Q76" s="36" t="n">
        <f aca="false">'Mid &amp; Assgn - B'!AE79</f>
        <v>0</v>
      </c>
      <c r="R76" s="36" t="n">
        <f aca="false">IF(D76/30&gt;=0.7,3,IF(D76/30&gt;=0.5,2,IF(D76/30&gt;=0.35,1,0)))</f>
        <v>0</v>
      </c>
      <c r="S76" s="36" t="n">
        <f aca="false">IF(E76/30&gt;=0.7,3,IF(E76/30&gt;=0.5,2,IF(E76/30&gt;=0.35,1,0)))</f>
        <v>0</v>
      </c>
      <c r="T76" s="36" t="n">
        <f aca="false">IF(H76/30&gt;=0.7,3,IF(H76/30&gt;=0.5,2,IF(H76/30&gt;=0.35,1,0)))</f>
        <v>0</v>
      </c>
      <c r="U76" s="36" t="n">
        <f aca="false">IF(I76/30&gt;=0.7,3,IF(I76/30&gt;=0.5,2,IF(I76/30&gt;=0.35,1,0)))</f>
        <v>0</v>
      </c>
      <c r="V76" s="36"/>
      <c r="W76" s="36"/>
      <c r="X76" s="36"/>
      <c r="Y76" s="36"/>
      <c r="Z76" s="36" t="n">
        <f aca="false">G76+K76+L76+M76+N76+O76+P76</f>
        <v>0</v>
      </c>
      <c r="AA76" s="36" t="n">
        <f aca="false">IFERROR(AVERAGE(R76:U76),0)</f>
        <v>0</v>
      </c>
    </row>
    <row r="77" customFormat="false" ht="15" hidden="false" customHeight="true" outlineLevel="0" collapsed="false">
      <c r="A77" s="37" t="n">
        <v>64</v>
      </c>
      <c r="B77" s="37" t="n">
        <f aca="false">'Mid &amp; Assgn - B'!B80</f>
        <v>0</v>
      </c>
      <c r="C77" s="37" t="n">
        <f aca="false">'Mid &amp; Assgn - B'!C80</f>
        <v>0</v>
      </c>
      <c r="D77" s="38" t="n">
        <f aca="false">IFERROR(SUM('Mid &amp; Assgn - B'!D80:I80),0)</f>
        <v>0</v>
      </c>
      <c r="E77" s="38" t="n">
        <f aca="false">IFERROR(SUM('Mid &amp; Assgn - B'!J80:M80),0)</f>
        <v>0</v>
      </c>
      <c r="F77" s="38" t="n">
        <f aca="false">D77+E77</f>
        <v>0</v>
      </c>
      <c r="G77" s="38" t="n">
        <f aca="false">IFERROR(ROUND(F77/30*15,2),0)</f>
        <v>0</v>
      </c>
      <c r="H77" s="38" t="n">
        <f aca="false">IFERROR(SUM('Mid &amp; Assgn - B'!N80:S80),0)</f>
        <v>0</v>
      </c>
      <c r="I77" s="38" t="n">
        <f aca="false">IFERROR(SUM('Mid &amp; Assgn - B'!T80:Y80),0)</f>
        <v>0</v>
      </c>
      <c r="J77" s="38" t="n">
        <f aca="false">H77+I77</f>
        <v>0</v>
      </c>
      <c r="K77" s="38" t="n">
        <f aca="false">IFERROR(ROUND(J77/30*15,2),0)</f>
        <v>0</v>
      </c>
      <c r="L77" s="38" t="n">
        <f aca="false">'Mid &amp; Assgn - B'!Z80</f>
        <v>0</v>
      </c>
      <c r="M77" s="38" t="n">
        <f aca="false">'Mid &amp; Assgn - B'!AA80</f>
        <v>0</v>
      </c>
      <c r="N77" s="38" t="n">
        <f aca="false">'Mid &amp; Assgn - B'!AB80</f>
        <v>0</v>
      </c>
      <c r="O77" s="38" t="n">
        <f aca="false">'Mid &amp; Assgn - B'!AC80</f>
        <v>0</v>
      </c>
      <c r="P77" s="38" t="n">
        <f aca="false">'Mid &amp; Assgn - B'!AD80</f>
        <v>0</v>
      </c>
      <c r="Q77" s="38" t="n">
        <f aca="false">'Mid &amp; Assgn - B'!AE80</f>
        <v>0</v>
      </c>
      <c r="R77" s="38" t="n">
        <f aca="false">IF(D77/30&gt;=0.7,3,IF(D77/30&gt;=0.5,2,IF(D77/30&gt;=0.35,1,0)))</f>
        <v>0</v>
      </c>
      <c r="S77" s="38" t="n">
        <f aca="false">IF(E77/30&gt;=0.7,3,IF(E77/30&gt;=0.5,2,IF(E77/30&gt;=0.35,1,0)))</f>
        <v>0</v>
      </c>
      <c r="T77" s="38" t="n">
        <f aca="false">IF(H77/30&gt;=0.7,3,IF(H77/30&gt;=0.5,2,IF(H77/30&gt;=0.35,1,0)))</f>
        <v>0</v>
      </c>
      <c r="U77" s="38" t="n">
        <f aca="false">IF(I77/30&gt;=0.7,3,IF(I77/30&gt;=0.5,2,IF(I77/30&gt;=0.35,1,0)))</f>
        <v>0</v>
      </c>
      <c r="V77" s="38"/>
      <c r="W77" s="38"/>
      <c r="X77" s="38"/>
      <c r="Y77" s="38"/>
      <c r="Z77" s="38" t="n">
        <f aca="false">G77+K77+L77+M77+N77+O77+P77</f>
        <v>0</v>
      </c>
      <c r="AA77" s="38" t="n">
        <f aca="false">IFERROR(AVERAGE(R77:U77),0)</f>
        <v>0</v>
      </c>
    </row>
    <row r="78" customFormat="false" ht="15" hidden="false" customHeight="true" outlineLevel="0" collapsed="false">
      <c r="A78" s="35" t="n">
        <v>65</v>
      </c>
      <c r="B78" s="35" t="n">
        <f aca="false">'Mid &amp; Assgn - B'!B81</f>
        <v>0</v>
      </c>
      <c r="C78" s="35" t="n">
        <f aca="false">'Mid &amp; Assgn - B'!C81</f>
        <v>0</v>
      </c>
      <c r="D78" s="36" t="n">
        <f aca="false">IFERROR(SUM('Mid &amp; Assgn - B'!D81:I81),0)</f>
        <v>0</v>
      </c>
      <c r="E78" s="36" t="n">
        <f aca="false">IFERROR(SUM('Mid &amp; Assgn - B'!J81:M81),0)</f>
        <v>0</v>
      </c>
      <c r="F78" s="36" t="n">
        <f aca="false">D78+E78</f>
        <v>0</v>
      </c>
      <c r="G78" s="36" t="n">
        <f aca="false">IFERROR(ROUND(F78/30*15,2),0)</f>
        <v>0</v>
      </c>
      <c r="H78" s="36" t="n">
        <f aca="false">IFERROR(SUM('Mid &amp; Assgn - B'!N81:S81),0)</f>
        <v>0</v>
      </c>
      <c r="I78" s="36" t="n">
        <f aca="false">IFERROR(SUM('Mid &amp; Assgn - B'!T81:Y81),0)</f>
        <v>0</v>
      </c>
      <c r="J78" s="36" t="n">
        <f aca="false">H78+I78</f>
        <v>0</v>
      </c>
      <c r="K78" s="36" t="n">
        <f aca="false">IFERROR(ROUND(J78/30*15,2),0)</f>
        <v>0</v>
      </c>
      <c r="L78" s="36" t="n">
        <f aca="false">'Mid &amp; Assgn - B'!Z81</f>
        <v>0</v>
      </c>
      <c r="M78" s="36" t="n">
        <f aca="false">'Mid &amp; Assgn - B'!AA81</f>
        <v>0</v>
      </c>
      <c r="N78" s="36" t="n">
        <f aca="false">'Mid &amp; Assgn - B'!AB81</f>
        <v>0</v>
      </c>
      <c r="O78" s="36" t="n">
        <f aca="false">'Mid &amp; Assgn - B'!AC81</f>
        <v>0</v>
      </c>
      <c r="P78" s="36" t="n">
        <f aca="false">'Mid &amp; Assgn - B'!AD81</f>
        <v>0</v>
      </c>
      <c r="Q78" s="36" t="n">
        <f aca="false">'Mid &amp; Assgn - B'!AE81</f>
        <v>0</v>
      </c>
      <c r="R78" s="36" t="n">
        <f aca="false">IF(D78/30&gt;=0.7,3,IF(D78/30&gt;=0.5,2,IF(D78/30&gt;=0.35,1,0)))</f>
        <v>0</v>
      </c>
      <c r="S78" s="36" t="n">
        <f aca="false">IF(E78/30&gt;=0.7,3,IF(E78/30&gt;=0.5,2,IF(E78/30&gt;=0.35,1,0)))</f>
        <v>0</v>
      </c>
      <c r="T78" s="36" t="n">
        <f aca="false">IF(H78/30&gt;=0.7,3,IF(H78/30&gt;=0.5,2,IF(H78/30&gt;=0.35,1,0)))</f>
        <v>0</v>
      </c>
      <c r="U78" s="36" t="n">
        <f aca="false">IF(I78/30&gt;=0.7,3,IF(I78/30&gt;=0.5,2,IF(I78/30&gt;=0.35,1,0)))</f>
        <v>0</v>
      </c>
      <c r="V78" s="36"/>
      <c r="W78" s="36"/>
      <c r="X78" s="36"/>
      <c r="Y78" s="36"/>
      <c r="Z78" s="36" t="n">
        <f aca="false">G78+K78+L78+M78+N78+O78+P78</f>
        <v>0</v>
      </c>
      <c r="AA78" s="36" t="n">
        <f aca="false">IFERROR(AVERAGE(R78:U78),0)</f>
        <v>0</v>
      </c>
    </row>
    <row r="79" customFormat="false" ht="15" hidden="false" customHeight="true" outlineLevel="0" collapsed="false">
      <c r="A79" s="37" t="n">
        <v>66</v>
      </c>
      <c r="B79" s="37" t="n">
        <f aca="false">'Mid &amp; Assgn - B'!B82</f>
        <v>0</v>
      </c>
      <c r="C79" s="37" t="n">
        <f aca="false">'Mid &amp; Assgn - B'!C82</f>
        <v>0</v>
      </c>
      <c r="D79" s="38" t="n">
        <f aca="false">IFERROR(SUM('Mid &amp; Assgn - B'!D82:I82),0)</f>
        <v>0</v>
      </c>
      <c r="E79" s="38" t="n">
        <f aca="false">IFERROR(SUM('Mid &amp; Assgn - B'!J82:M82),0)</f>
        <v>0</v>
      </c>
      <c r="F79" s="38" t="n">
        <f aca="false">D79+E79</f>
        <v>0</v>
      </c>
      <c r="G79" s="38" t="n">
        <f aca="false">IFERROR(ROUND(F79/30*15,2),0)</f>
        <v>0</v>
      </c>
      <c r="H79" s="38" t="n">
        <f aca="false">IFERROR(SUM('Mid &amp; Assgn - B'!N82:S82),0)</f>
        <v>0</v>
      </c>
      <c r="I79" s="38" t="n">
        <f aca="false">IFERROR(SUM('Mid &amp; Assgn - B'!T82:Y82),0)</f>
        <v>0</v>
      </c>
      <c r="J79" s="38" t="n">
        <f aca="false">H79+I79</f>
        <v>0</v>
      </c>
      <c r="K79" s="38" t="n">
        <f aca="false">IFERROR(ROUND(J79/30*15,2),0)</f>
        <v>0</v>
      </c>
      <c r="L79" s="38" t="n">
        <f aca="false">'Mid &amp; Assgn - B'!Z82</f>
        <v>0</v>
      </c>
      <c r="M79" s="38" t="n">
        <f aca="false">'Mid &amp; Assgn - B'!AA82</f>
        <v>0</v>
      </c>
      <c r="N79" s="38" t="n">
        <f aca="false">'Mid &amp; Assgn - B'!AB82</f>
        <v>0</v>
      </c>
      <c r="O79" s="38" t="n">
        <f aca="false">'Mid &amp; Assgn - B'!AC82</f>
        <v>0</v>
      </c>
      <c r="P79" s="38" t="n">
        <f aca="false">'Mid &amp; Assgn - B'!AD82</f>
        <v>0</v>
      </c>
      <c r="Q79" s="38" t="n">
        <f aca="false">'Mid &amp; Assgn - B'!AE82</f>
        <v>0</v>
      </c>
      <c r="R79" s="38" t="n">
        <f aca="false">IF(D79/30&gt;=0.7,3,IF(D79/30&gt;=0.5,2,IF(D79/30&gt;=0.35,1,0)))</f>
        <v>0</v>
      </c>
      <c r="S79" s="38" t="n">
        <f aca="false">IF(E79/30&gt;=0.7,3,IF(E79/30&gt;=0.5,2,IF(E79/30&gt;=0.35,1,0)))</f>
        <v>0</v>
      </c>
      <c r="T79" s="38" t="n">
        <f aca="false">IF(H79/30&gt;=0.7,3,IF(H79/30&gt;=0.5,2,IF(H79/30&gt;=0.35,1,0)))</f>
        <v>0</v>
      </c>
      <c r="U79" s="38" t="n">
        <f aca="false">IF(I79/30&gt;=0.7,3,IF(I79/30&gt;=0.5,2,IF(I79/30&gt;=0.35,1,0)))</f>
        <v>0</v>
      </c>
      <c r="V79" s="38"/>
      <c r="W79" s="38"/>
      <c r="X79" s="38"/>
      <c r="Y79" s="38"/>
      <c r="Z79" s="38" t="n">
        <f aca="false">G79+K79+L79+M79+N79+O79+P79</f>
        <v>0</v>
      </c>
      <c r="AA79" s="38" t="n">
        <f aca="false">IFERROR(AVERAGE(R79:U79),0)</f>
        <v>0</v>
      </c>
    </row>
    <row r="80" customFormat="false" ht="15" hidden="false" customHeight="true" outlineLevel="0" collapsed="false">
      <c r="A80" s="35" t="n">
        <v>67</v>
      </c>
      <c r="B80" s="35" t="n">
        <f aca="false">'Mid &amp; Assgn - B'!B83</f>
        <v>0</v>
      </c>
      <c r="C80" s="35" t="n">
        <f aca="false">'Mid &amp; Assgn - B'!C83</f>
        <v>0</v>
      </c>
      <c r="D80" s="36" t="n">
        <f aca="false">IFERROR(SUM('Mid &amp; Assgn - B'!D83:I83),0)</f>
        <v>0</v>
      </c>
      <c r="E80" s="36" t="n">
        <f aca="false">IFERROR(SUM('Mid &amp; Assgn - B'!J83:M83),0)</f>
        <v>0</v>
      </c>
      <c r="F80" s="36" t="n">
        <f aca="false">D80+E80</f>
        <v>0</v>
      </c>
      <c r="G80" s="36" t="n">
        <f aca="false">IFERROR(ROUND(F80/30*15,2),0)</f>
        <v>0</v>
      </c>
      <c r="H80" s="36" t="n">
        <f aca="false">IFERROR(SUM('Mid &amp; Assgn - B'!N83:S83),0)</f>
        <v>0</v>
      </c>
      <c r="I80" s="36" t="n">
        <f aca="false">IFERROR(SUM('Mid &amp; Assgn - B'!T83:Y83),0)</f>
        <v>0</v>
      </c>
      <c r="J80" s="36" t="n">
        <f aca="false">H80+I80</f>
        <v>0</v>
      </c>
      <c r="K80" s="36" t="n">
        <f aca="false">IFERROR(ROUND(J80/30*15,2),0)</f>
        <v>0</v>
      </c>
      <c r="L80" s="36" t="n">
        <f aca="false">'Mid &amp; Assgn - B'!Z83</f>
        <v>0</v>
      </c>
      <c r="M80" s="36" t="n">
        <f aca="false">'Mid &amp; Assgn - B'!AA83</f>
        <v>0</v>
      </c>
      <c r="N80" s="36" t="n">
        <f aca="false">'Mid &amp; Assgn - B'!AB83</f>
        <v>0</v>
      </c>
      <c r="O80" s="36" t="n">
        <f aca="false">'Mid &amp; Assgn - B'!AC83</f>
        <v>0</v>
      </c>
      <c r="P80" s="36" t="n">
        <f aca="false">'Mid &amp; Assgn - B'!AD83</f>
        <v>0</v>
      </c>
      <c r="Q80" s="36" t="n">
        <f aca="false">'Mid &amp; Assgn - B'!AE83</f>
        <v>0</v>
      </c>
      <c r="R80" s="36" t="n">
        <f aca="false">IF(D80/30&gt;=0.7,3,IF(D80/30&gt;=0.5,2,IF(D80/30&gt;=0.35,1,0)))</f>
        <v>0</v>
      </c>
      <c r="S80" s="36" t="n">
        <f aca="false">IF(E80/30&gt;=0.7,3,IF(E80/30&gt;=0.5,2,IF(E80/30&gt;=0.35,1,0)))</f>
        <v>0</v>
      </c>
      <c r="T80" s="36" t="n">
        <f aca="false">IF(H80/30&gt;=0.7,3,IF(H80/30&gt;=0.5,2,IF(H80/30&gt;=0.35,1,0)))</f>
        <v>0</v>
      </c>
      <c r="U80" s="36" t="n">
        <f aca="false">IF(I80/30&gt;=0.7,3,IF(I80/30&gt;=0.5,2,IF(I80/30&gt;=0.35,1,0)))</f>
        <v>0</v>
      </c>
      <c r="V80" s="36"/>
      <c r="W80" s="36"/>
      <c r="X80" s="36"/>
      <c r="Y80" s="36"/>
      <c r="Z80" s="36" t="n">
        <f aca="false">G80+K80+L80+M80+N80+O80+P80</f>
        <v>0</v>
      </c>
      <c r="AA80" s="36" t="n">
        <f aca="false">IFERROR(AVERAGE(R80:U80),0)</f>
        <v>0</v>
      </c>
    </row>
    <row r="81" customFormat="false" ht="15" hidden="false" customHeight="true" outlineLevel="0" collapsed="false">
      <c r="A81" s="37" t="n">
        <v>68</v>
      </c>
      <c r="B81" s="37" t="n">
        <f aca="false">'Mid &amp; Assgn - B'!B84</f>
        <v>0</v>
      </c>
      <c r="C81" s="37" t="n">
        <f aca="false">'Mid &amp; Assgn - B'!C84</f>
        <v>0</v>
      </c>
      <c r="D81" s="38" t="n">
        <f aca="false">IFERROR(SUM('Mid &amp; Assgn - B'!D84:I84),0)</f>
        <v>0</v>
      </c>
      <c r="E81" s="38" t="n">
        <f aca="false">IFERROR(SUM('Mid &amp; Assgn - B'!J84:M84),0)</f>
        <v>0</v>
      </c>
      <c r="F81" s="38" t="n">
        <f aca="false">D81+E81</f>
        <v>0</v>
      </c>
      <c r="G81" s="38" t="n">
        <f aca="false">IFERROR(ROUND(F81/30*15,2),0)</f>
        <v>0</v>
      </c>
      <c r="H81" s="38" t="n">
        <f aca="false">IFERROR(SUM('Mid &amp; Assgn - B'!N84:S84),0)</f>
        <v>0</v>
      </c>
      <c r="I81" s="38" t="n">
        <f aca="false">IFERROR(SUM('Mid &amp; Assgn - B'!T84:Y84),0)</f>
        <v>0</v>
      </c>
      <c r="J81" s="38" t="n">
        <f aca="false">H81+I81</f>
        <v>0</v>
      </c>
      <c r="K81" s="38" t="n">
        <f aca="false">IFERROR(ROUND(J81/30*15,2),0)</f>
        <v>0</v>
      </c>
      <c r="L81" s="38" t="n">
        <f aca="false">'Mid &amp; Assgn - B'!Z84</f>
        <v>0</v>
      </c>
      <c r="M81" s="38" t="n">
        <f aca="false">'Mid &amp; Assgn - B'!AA84</f>
        <v>0</v>
      </c>
      <c r="N81" s="38" t="n">
        <f aca="false">'Mid &amp; Assgn - B'!AB84</f>
        <v>0</v>
      </c>
      <c r="O81" s="38" t="n">
        <f aca="false">'Mid &amp; Assgn - B'!AC84</f>
        <v>0</v>
      </c>
      <c r="P81" s="38" t="n">
        <f aca="false">'Mid &amp; Assgn - B'!AD84</f>
        <v>0</v>
      </c>
      <c r="Q81" s="38" t="n">
        <f aca="false">'Mid &amp; Assgn - B'!AE84</f>
        <v>0</v>
      </c>
      <c r="R81" s="38" t="n">
        <f aca="false">IF(D81/30&gt;=0.7,3,IF(D81/30&gt;=0.5,2,IF(D81/30&gt;=0.35,1,0)))</f>
        <v>0</v>
      </c>
      <c r="S81" s="38" t="n">
        <f aca="false">IF(E81/30&gt;=0.7,3,IF(E81/30&gt;=0.5,2,IF(E81/30&gt;=0.35,1,0)))</f>
        <v>0</v>
      </c>
      <c r="T81" s="38" t="n">
        <f aca="false">IF(H81/30&gt;=0.7,3,IF(H81/30&gt;=0.5,2,IF(H81/30&gt;=0.35,1,0)))</f>
        <v>0</v>
      </c>
      <c r="U81" s="38" t="n">
        <f aca="false">IF(I81/30&gt;=0.7,3,IF(I81/30&gt;=0.5,2,IF(I81/30&gt;=0.35,1,0)))</f>
        <v>0</v>
      </c>
      <c r="V81" s="38"/>
      <c r="W81" s="38"/>
      <c r="X81" s="38"/>
      <c r="Y81" s="38"/>
      <c r="Z81" s="38" t="n">
        <f aca="false">G81+K81+L81+M81+N81+O81+P81</f>
        <v>0</v>
      </c>
      <c r="AA81" s="38" t="n">
        <f aca="false">IFERROR(AVERAGE(R81:U81),0)</f>
        <v>0</v>
      </c>
    </row>
    <row r="82" customFormat="false" ht="15" hidden="false" customHeight="true" outlineLevel="0" collapsed="false">
      <c r="A82" s="35" t="n">
        <v>69</v>
      </c>
      <c r="B82" s="35" t="n">
        <f aca="false">'Mid &amp; Assgn - B'!B85</f>
        <v>0</v>
      </c>
      <c r="C82" s="35" t="n">
        <f aca="false">'Mid &amp; Assgn - B'!C85</f>
        <v>0</v>
      </c>
      <c r="D82" s="36" t="n">
        <f aca="false">IFERROR(SUM('Mid &amp; Assgn - B'!D85:I85),0)</f>
        <v>0</v>
      </c>
      <c r="E82" s="36" t="n">
        <f aca="false">IFERROR(SUM('Mid &amp; Assgn - B'!J85:M85),0)</f>
        <v>0</v>
      </c>
      <c r="F82" s="36" t="n">
        <f aca="false">D82+E82</f>
        <v>0</v>
      </c>
      <c r="G82" s="36" t="n">
        <f aca="false">IFERROR(ROUND(F82/30*15,2),0)</f>
        <v>0</v>
      </c>
      <c r="H82" s="36" t="n">
        <f aca="false">IFERROR(SUM('Mid &amp; Assgn - B'!N85:S85),0)</f>
        <v>0</v>
      </c>
      <c r="I82" s="36" t="n">
        <f aca="false">IFERROR(SUM('Mid &amp; Assgn - B'!T85:Y85),0)</f>
        <v>0</v>
      </c>
      <c r="J82" s="36" t="n">
        <f aca="false">H82+I82</f>
        <v>0</v>
      </c>
      <c r="K82" s="36" t="n">
        <f aca="false">IFERROR(ROUND(J82/30*15,2),0)</f>
        <v>0</v>
      </c>
      <c r="L82" s="36" t="n">
        <f aca="false">'Mid &amp; Assgn - B'!Z85</f>
        <v>0</v>
      </c>
      <c r="M82" s="36" t="n">
        <f aca="false">'Mid &amp; Assgn - B'!AA85</f>
        <v>0</v>
      </c>
      <c r="N82" s="36" t="n">
        <f aca="false">'Mid &amp; Assgn - B'!AB85</f>
        <v>0</v>
      </c>
      <c r="O82" s="36" t="n">
        <f aca="false">'Mid &amp; Assgn - B'!AC85</f>
        <v>0</v>
      </c>
      <c r="P82" s="36" t="n">
        <f aca="false">'Mid &amp; Assgn - B'!AD85</f>
        <v>0</v>
      </c>
      <c r="Q82" s="36" t="n">
        <f aca="false">'Mid &amp; Assgn - B'!AE85</f>
        <v>0</v>
      </c>
      <c r="R82" s="36" t="n">
        <f aca="false">IF(D82/30&gt;=0.7,3,IF(D82/30&gt;=0.5,2,IF(D82/30&gt;=0.35,1,0)))</f>
        <v>0</v>
      </c>
      <c r="S82" s="36" t="n">
        <f aca="false">IF(E82/30&gt;=0.7,3,IF(E82/30&gt;=0.5,2,IF(E82/30&gt;=0.35,1,0)))</f>
        <v>0</v>
      </c>
      <c r="T82" s="36" t="n">
        <f aca="false">IF(H82/30&gt;=0.7,3,IF(H82/30&gt;=0.5,2,IF(H82/30&gt;=0.35,1,0)))</f>
        <v>0</v>
      </c>
      <c r="U82" s="36" t="n">
        <f aca="false">IF(I82/30&gt;=0.7,3,IF(I82/30&gt;=0.5,2,IF(I82/30&gt;=0.35,1,0)))</f>
        <v>0</v>
      </c>
      <c r="V82" s="36"/>
      <c r="W82" s="36"/>
      <c r="X82" s="36"/>
      <c r="Y82" s="36"/>
      <c r="Z82" s="36" t="n">
        <f aca="false">G82+K82+L82+M82+N82+O82+P82</f>
        <v>0</v>
      </c>
      <c r="AA82" s="36" t="n">
        <f aca="false">IFERROR(AVERAGE(R82:U82),0)</f>
        <v>0</v>
      </c>
    </row>
    <row r="83" customFormat="false" ht="15" hidden="false" customHeight="true" outlineLevel="0" collapsed="false">
      <c r="A83" s="37" t="n">
        <v>70</v>
      </c>
      <c r="B83" s="37" t="n">
        <f aca="false">'Mid &amp; Assgn - B'!B86</f>
        <v>0</v>
      </c>
      <c r="C83" s="37" t="n">
        <f aca="false">'Mid &amp; Assgn - B'!C86</f>
        <v>0</v>
      </c>
      <c r="D83" s="38" t="n">
        <f aca="false">IFERROR(SUM('Mid &amp; Assgn - B'!D86:I86),0)</f>
        <v>0</v>
      </c>
      <c r="E83" s="38" t="n">
        <f aca="false">IFERROR(SUM('Mid &amp; Assgn - B'!J86:M86),0)</f>
        <v>0</v>
      </c>
      <c r="F83" s="38" t="n">
        <f aca="false">D83+E83</f>
        <v>0</v>
      </c>
      <c r="G83" s="38" t="n">
        <f aca="false">IFERROR(ROUND(F83/30*15,2),0)</f>
        <v>0</v>
      </c>
      <c r="H83" s="38" t="n">
        <f aca="false">IFERROR(SUM('Mid &amp; Assgn - B'!N86:S86),0)</f>
        <v>0</v>
      </c>
      <c r="I83" s="38" t="n">
        <f aca="false">IFERROR(SUM('Mid &amp; Assgn - B'!T86:Y86),0)</f>
        <v>0</v>
      </c>
      <c r="J83" s="38" t="n">
        <f aca="false">H83+I83</f>
        <v>0</v>
      </c>
      <c r="K83" s="38" t="n">
        <f aca="false">IFERROR(ROUND(J83/30*15,2),0)</f>
        <v>0</v>
      </c>
      <c r="L83" s="38" t="n">
        <f aca="false">'Mid &amp; Assgn - B'!Z86</f>
        <v>0</v>
      </c>
      <c r="M83" s="38" t="n">
        <f aca="false">'Mid &amp; Assgn - B'!AA86</f>
        <v>0</v>
      </c>
      <c r="N83" s="38" t="n">
        <f aca="false">'Mid &amp; Assgn - B'!AB86</f>
        <v>0</v>
      </c>
      <c r="O83" s="38" t="n">
        <f aca="false">'Mid &amp; Assgn - B'!AC86</f>
        <v>0</v>
      </c>
      <c r="P83" s="38" t="n">
        <f aca="false">'Mid &amp; Assgn - B'!AD86</f>
        <v>0</v>
      </c>
      <c r="Q83" s="38" t="n">
        <f aca="false">'Mid &amp; Assgn - B'!AE86</f>
        <v>0</v>
      </c>
      <c r="R83" s="38" t="n">
        <f aca="false">IF(D83/30&gt;=0.7,3,IF(D83/30&gt;=0.5,2,IF(D83/30&gt;=0.35,1,0)))</f>
        <v>0</v>
      </c>
      <c r="S83" s="38" t="n">
        <f aca="false">IF(E83/30&gt;=0.7,3,IF(E83/30&gt;=0.5,2,IF(E83/30&gt;=0.35,1,0)))</f>
        <v>0</v>
      </c>
      <c r="T83" s="38" t="n">
        <f aca="false">IF(H83/30&gt;=0.7,3,IF(H83/30&gt;=0.5,2,IF(H83/30&gt;=0.35,1,0)))</f>
        <v>0</v>
      </c>
      <c r="U83" s="38" t="n">
        <f aca="false">IF(I83/30&gt;=0.7,3,IF(I83/30&gt;=0.5,2,IF(I83/30&gt;=0.35,1,0)))</f>
        <v>0</v>
      </c>
      <c r="V83" s="38"/>
      <c r="W83" s="38"/>
      <c r="X83" s="38"/>
      <c r="Y83" s="38"/>
      <c r="Z83" s="38" t="n">
        <f aca="false">G83+K83+L83+M83+N83+O83+P83</f>
        <v>0</v>
      </c>
      <c r="AA83" s="38" t="n">
        <f aca="false">IFERROR(AVERAGE(R83:U83),0)</f>
        <v>0</v>
      </c>
    </row>
    <row r="84" customFormat="false" ht="15" hidden="false" customHeight="true" outlineLevel="0" collapsed="false">
      <c r="A84" s="35" t="n">
        <v>71</v>
      </c>
      <c r="B84" s="35" t="n">
        <f aca="false">'Mid &amp; Assgn - B'!B87</f>
        <v>0</v>
      </c>
      <c r="C84" s="35" t="n">
        <f aca="false">'Mid &amp; Assgn - B'!C87</f>
        <v>0</v>
      </c>
      <c r="D84" s="36" t="n">
        <f aca="false">IFERROR(SUM('Mid &amp; Assgn - B'!D87:I87),0)</f>
        <v>0</v>
      </c>
      <c r="E84" s="36" t="n">
        <f aca="false">IFERROR(SUM('Mid &amp; Assgn - B'!J87:M87),0)</f>
        <v>0</v>
      </c>
      <c r="F84" s="36" t="n">
        <f aca="false">D84+E84</f>
        <v>0</v>
      </c>
      <c r="G84" s="36" t="n">
        <f aca="false">IFERROR(ROUND(F84/30*15,2),0)</f>
        <v>0</v>
      </c>
      <c r="H84" s="36" t="n">
        <f aca="false">IFERROR(SUM('Mid &amp; Assgn - B'!N87:S87),0)</f>
        <v>0</v>
      </c>
      <c r="I84" s="36" t="n">
        <f aca="false">IFERROR(SUM('Mid &amp; Assgn - B'!T87:Y87),0)</f>
        <v>0</v>
      </c>
      <c r="J84" s="36" t="n">
        <f aca="false">H84+I84</f>
        <v>0</v>
      </c>
      <c r="K84" s="36" t="n">
        <f aca="false">IFERROR(ROUND(J84/30*15,2),0)</f>
        <v>0</v>
      </c>
      <c r="L84" s="36" t="n">
        <f aca="false">'Mid &amp; Assgn - B'!Z87</f>
        <v>0</v>
      </c>
      <c r="M84" s="36" t="n">
        <f aca="false">'Mid &amp; Assgn - B'!AA87</f>
        <v>0</v>
      </c>
      <c r="N84" s="36" t="n">
        <f aca="false">'Mid &amp; Assgn - B'!AB87</f>
        <v>0</v>
      </c>
      <c r="O84" s="36" t="n">
        <f aca="false">'Mid &amp; Assgn - B'!AC87</f>
        <v>0</v>
      </c>
      <c r="P84" s="36" t="n">
        <f aca="false">'Mid &amp; Assgn - B'!AD87</f>
        <v>0</v>
      </c>
      <c r="Q84" s="36" t="n">
        <f aca="false">'Mid &amp; Assgn - B'!AE87</f>
        <v>0</v>
      </c>
      <c r="R84" s="36" t="n">
        <f aca="false">IF(D84/30&gt;=0.7,3,IF(D84/30&gt;=0.5,2,IF(D84/30&gt;=0.35,1,0)))</f>
        <v>0</v>
      </c>
      <c r="S84" s="36" t="n">
        <f aca="false">IF(E84/30&gt;=0.7,3,IF(E84/30&gt;=0.5,2,IF(E84/30&gt;=0.35,1,0)))</f>
        <v>0</v>
      </c>
      <c r="T84" s="36" t="n">
        <f aca="false">IF(H84/30&gt;=0.7,3,IF(H84/30&gt;=0.5,2,IF(H84/30&gt;=0.35,1,0)))</f>
        <v>0</v>
      </c>
      <c r="U84" s="36" t="n">
        <f aca="false">IF(I84/30&gt;=0.7,3,IF(I84/30&gt;=0.5,2,IF(I84/30&gt;=0.35,1,0)))</f>
        <v>0</v>
      </c>
      <c r="V84" s="36"/>
      <c r="W84" s="36"/>
      <c r="X84" s="36"/>
      <c r="Y84" s="36"/>
      <c r="Z84" s="36" t="n">
        <f aca="false">G84+K84+L84+M84+N84+O84+P84</f>
        <v>0</v>
      </c>
      <c r="AA84" s="36" t="n">
        <f aca="false">IFERROR(AVERAGE(R84:U84),0)</f>
        <v>0</v>
      </c>
    </row>
    <row r="85" customFormat="false" ht="15" hidden="false" customHeight="true" outlineLevel="0" collapsed="false">
      <c r="A85" s="37" t="n">
        <v>72</v>
      </c>
      <c r="B85" s="37" t="n">
        <f aca="false">'Mid &amp; Assgn - B'!B88</f>
        <v>0</v>
      </c>
      <c r="C85" s="37" t="n">
        <f aca="false">'Mid &amp; Assgn - B'!C88</f>
        <v>0</v>
      </c>
      <c r="D85" s="38" t="n">
        <f aca="false">IFERROR(SUM('Mid &amp; Assgn - B'!D88:I88),0)</f>
        <v>0</v>
      </c>
      <c r="E85" s="38" t="n">
        <f aca="false">IFERROR(SUM('Mid &amp; Assgn - B'!J88:M88),0)</f>
        <v>0</v>
      </c>
      <c r="F85" s="38" t="n">
        <f aca="false">D85+E85</f>
        <v>0</v>
      </c>
      <c r="G85" s="38" t="n">
        <f aca="false">IFERROR(ROUND(F85/30*15,2),0)</f>
        <v>0</v>
      </c>
      <c r="H85" s="38" t="n">
        <f aca="false">IFERROR(SUM('Mid &amp; Assgn - B'!N88:S88),0)</f>
        <v>0</v>
      </c>
      <c r="I85" s="38" t="n">
        <f aca="false">IFERROR(SUM('Mid &amp; Assgn - B'!T88:Y88),0)</f>
        <v>0</v>
      </c>
      <c r="J85" s="38" t="n">
        <f aca="false">H85+I85</f>
        <v>0</v>
      </c>
      <c r="K85" s="38" t="n">
        <f aca="false">IFERROR(ROUND(J85/30*15,2),0)</f>
        <v>0</v>
      </c>
      <c r="L85" s="38" t="n">
        <f aca="false">'Mid &amp; Assgn - B'!Z88</f>
        <v>0</v>
      </c>
      <c r="M85" s="38" t="n">
        <f aca="false">'Mid &amp; Assgn - B'!AA88</f>
        <v>0</v>
      </c>
      <c r="N85" s="38" t="n">
        <f aca="false">'Mid &amp; Assgn - B'!AB88</f>
        <v>0</v>
      </c>
      <c r="O85" s="38" t="n">
        <f aca="false">'Mid &amp; Assgn - B'!AC88</f>
        <v>0</v>
      </c>
      <c r="P85" s="38" t="n">
        <f aca="false">'Mid &amp; Assgn - B'!AD88</f>
        <v>0</v>
      </c>
      <c r="Q85" s="38" t="n">
        <f aca="false">'Mid &amp; Assgn - B'!AE88</f>
        <v>0</v>
      </c>
      <c r="R85" s="38" t="n">
        <f aca="false">IF(D85/30&gt;=0.7,3,IF(D85/30&gt;=0.5,2,IF(D85/30&gt;=0.35,1,0)))</f>
        <v>0</v>
      </c>
      <c r="S85" s="38" t="n">
        <f aca="false">IF(E85/30&gt;=0.7,3,IF(E85/30&gt;=0.5,2,IF(E85/30&gt;=0.35,1,0)))</f>
        <v>0</v>
      </c>
      <c r="T85" s="38" t="n">
        <f aca="false">IF(H85/30&gt;=0.7,3,IF(H85/30&gt;=0.5,2,IF(H85/30&gt;=0.35,1,0)))</f>
        <v>0</v>
      </c>
      <c r="U85" s="38" t="n">
        <f aca="false">IF(I85/30&gt;=0.7,3,IF(I85/30&gt;=0.5,2,IF(I85/30&gt;=0.35,1,0)))</f>
        <v>0</v>
      </c>
      <c r="V85" s="38"/>
      <c r="W85" s="38"/>
      <c r="X85" s="38"/>
      <c r="Y85" s="38"/>
      <c r="Z85" s="38" t="n">
        <f aca="false">G85+K85+L85+M85+N85+O85+P85</f>
        <v>0</v>
      </c>
      <c r="AA85" s="38" t="n">
        <f aca="false">IFERROR(AVERAGE(R85:U85),0)</f>
        <v>0</v>
      </c>
    </row>
    <row r="86" customFormat="false" ht="15" hidden="false" customHeight="true" outlineLevel="0" collapsed="false">
      <c r="A86" s="35" t="n">
        <v>73</v>
      </c>
      <c r="B86" s="35" t="n">
        <f aca="false">'Mid &amp; Assgn - B'!B89</f>
        <v>0</v>
      </c>
      <c r="C86" s="35" t="n">
        <f aca="false">'Mid &amp; Assgn - B'!C89</f>
        <v>0</v>
      </c>
      <c r="D86" s="36" t="n">
        <f aca="false">IFERROR(SUM('Mid &amp; Assgn - B'!D89:I89),0)</f>
        <v>0</v>
      </c>
      <c r="E86" s="36" t="n">
        <f aca="false">IFERROR(SUM('Mid &amp; Assgn - B'!J89:M89),0)</f>
        <v>0</v>
      </c>
      <c r="F86" s="36" t="n">
        <f aca="false">D86+E86</f>
        <v>0</v>
      </c>
      <c r="G86" s="36" t="n">
        <f aca="false">IFERROR(ROUND(F86/30*15,2),0)</f>
        <v>0</v>
      </c>
      <c r="H86" s="36" t="n">
        <f aca="false">IFERROR(SUM('Mid &amp; Assgn - B'!N89:S89),0)</f>
        <v>0</v>
      </c>
      <c r="I86" s="36" t="n">
        <f aca="false">IFERROR(SUM('Mid &amp; Assgn - B'!T89:Y89),0)</f>
        <v>0</v>
      </c>
      <c r="J86" s="36" t="n">
        <f aca="false">H86+I86</f>
        <v>0</v>
      </c>
      <c r="K86" s="36" t="n">
        <f aca="false">IFERROR(ROUND(J86/30*15,2),0)</f>
        <v>0</v>
      </c>
      <c r="L86" s="36" t="n">
        <f aca="false">'Mid &amp; Assgn - B'!Z89</f>
        <v>0</v>
      </c>
      <c r="M86" s="36" t="n">
        <f aca="false">'Mid &amp; Assgn - B'!AA89</f>
        <v>0</v>
      </c>
      <c r="N86" s="36" t="n">
        <f aca="false">'Mid &amp; Assgn - B'!AB89</f>
        <v>0</v>
      </c>
      <c r="O86" s="36" t="n">
        <f aca="false">'Mid &amp; Assgn - B'!AC89</f>
        <v>0</v>
      </c>
      <c r="P86" s="36" t="n">
        <f aca="false">'Mid &amp; Assgn - B'!AD89</f>
        <v>0</v>
      </c>
      <c r="Q86" s="36" t="n">
        <f aca="false">'Mid &amp; Assgn - B'!AE89</f>
        <v>0</v>
      </c>
      <c r="R86" s="36" t="n">
        <f aca="false">IF(D86/30&gt;=0.7,3,IF(D86/30&gt;=0.5,2,IF(D86/30&gt;=0.35,1,0)))</f>
        <v>0</v>
      </c>
      <c r="S86" s="36" t="n">
        <f aca="false">IF(E86/30&gt;=0.7,3,IF(E86/30&gt;=0.5,2,IF(E86/30&gt;=0.35,1,0)))</f>
        <v>0</v>
      </c>
      <c r="T86" s="36" t="n">
        <f aca="false">IF(H86/30&gt;=0.7,3,IF(H86/30&gt;=0.5,2,IF(H86/30&gt;=0.35,1,0)))</f>
        <v>0</v>
      </c>
      <c r="U86" s="36" t="n">
        <f aca="false">IF(I86/30&gt;=0.7,3,IF(I86/30&gt;=0.5,2,IF(I86/30&gt;=0.35,1,0)))</f>
        <v>0</v>
      </c>
      <c r="V86" s="36"/>
      <c r="W86" s="36"/>
      <c r="X86" s="36"/>
      <c r="Y86" s="36"/>
      <c r="Z86" s="36" t="n">
        <f aca="false">G86+K86+L86+M86+N86+O86+P86</f>
        <v>0</v>
      </c>
      <c r="AA86" s="36" t="n">
        <f aca="false">IFERROR(AVERAGE(R86:U86),0)</f>
        <v>0</v>
      </c>
    </row>
    <row r="87" customFormat="false" ht="15" hidden="false" customHeight="true" outlineLevel="0" collapsed="false">
      <c r="A87" s="37" t="n">
        <v>74</v>
      </c>
      <c r="B87" s="37" t="n">
        <f aca="false">'Mid &amp; Assgn - B'!B90</f>
        <v>0</v>
      </c>
      <c r="C87" s="37" t="n">
        <f aca="false">'Mid &amp; Assgn - B'!C90</f>
        <v>0</v>
      </c>
      <c r="D87" s="38" t="n">
        <f aca="false">IFERROR(SUM('Mid &amp; Assgn - B'!D90:I90),0)</f>
        <v>0</v>
      </c>
      <c r="E87" s="38" t="n">
        <f aca="false">IFERROR(SUM('Mid &amp; Assgn - B'!J90:M90),0)</f>
        <v>0</v>
      </c>
      <c r="F87" s="38" t="n">
        <f aca="false">D87+E87</f>
        <v>0</v>
      </c>
      <c r="G87" s="38" t="n">
        <f aca="false">IFERROR(ROUND(F87/30*15,2),0)</f>
        <v>0</v>
      </c>
      <c r="H87" s="38" t="n">
        <f aca="false">IFERROR(SUM('Mid &amp; Assgn - B'!N90:S90),0)</f>
        <v>0</v>
      </c>
      <c r="I87" s="38" t="n">
        <f aca="false">IFERROR(SUM('Mid &amp; Assgn - B'!T90:Y90),0)</f>
        <v>0</v>
      </c>
      <c r="J87" s="38" t="n">
        <f aca="false">H87+I87</f>
        <v>0</v>
      </c>
      <c r="K87" s="38" t="n">
        <f aca="false">IFERROR(ROUND(J87/30*15,2),0)</f>
        <v>0</v>
      </c>
      <c r="L87" s="38" t="n">
        <f aca="false">'Mid &amp; Assgn - B'!Z90</f>
        <v>0</v>
      </c>
      <c r="M87" s="38" t="n">
        <f aca="false">'Mid &amp; Assgn - B'!AA90</f>
        <v>0</v>
      </c>
      <c r="N87" s="38" t="n">
        <f aca="false">'Mid &amp; Assgn - B'!AB90</f>
        <v>0</v>
      </c>
      <c r="O87" s="38" t="n">
        <f aca="false">'Mid &amp; Assgn - B'!AC90</f>
        <v>0</v>
      </c>
      <c r="P87" s="38" t="n">
        <f aca="false">'Mid &amp; Assgn - B'!AD90</f>
        <v>0</v>
      </c>
      <c r="Q87" s="38" t="n">
        <f aca="false">'Mid &amp; Assgn - B'!AE90</f>
        <v>0</v>
      </c>
      <c r="R87" s="38" t="n">
        <f aca="false">IF(D87/30&gt;=0.7,3,IF(D87/30&gt;=0.5,2,IF(D87/30&gt;=0.35,1,0)))</f>
        <v>0</v>
      </c>
      <c r="S87" s="38" t="n">
        <f aca="false">IF(E87/30&gt;=0.7,3,IF(E87/30&gt;=0.5,2,IF(E87/30&gt;=0.35,1,0)))</f>
        <v>0</v>
      </c>
      <c r="T87" s="38" t="n">
        <f aca="false">IF(H87/30&gt;=0.7,3,IF(H87/30&gt;=0.5,2,IF(H87/30&gt;=0.35,1,0)))</f>
        <v>0</v>
      </c>
      <c r="U87" s="38" t="n">
        <f aca="false">IF(I87/30&gt;=0.7,3,IF(I87/30&gt;=0.5,2,IF(I87/30&gt;=0.35,1,0)))</f>
        <v>0</v>
      </c>
      <c r="V87" s="38"/>
      <c r="W87" s="38"/>
      <c r="X87" s="38"/>
      <c r="Y87" s="38"/>
      <c r="Z87" s="38" t="n">
        <f aca="false">G87+K87+L87+M87+N87+O87+P87</f>
        <v>0</v>
      </c>
      <c r="AA87" s="38" t="n">
        <f aca="false">IFERROR(AVERAGE(R87:U87),0)</f>
        <v>0</v>
      </c>
    </row>
    <row r="88" customFormat="false" ht="15" hidden="false" customHeight="true" outlineLevel="0" collapsed="false">
      <c r="A88" s="35" t="n">
        <v>75</v>
      </c>
      <c r="B88" s="35" t="n">
        <f aca="false">'Mid &amp; Assgn - B'!B91</f>
        <v>0</v>
      </c>
      <c r="C88" s="35" t="n">
        <f aca="false">'Mid &amp; Assgn - B'!C91</f>
        <v>0</v>
      </c>
      <c r="D88" s="36" t="n">
        <f aca="false">IFERROR(SUM('Mid &amp; Assgn - B'!D91:I91),0)</f>
        <v>0</v>
      </c>
      <c r="E88" s="36" t="n">
        <f aca="false">IFERROR(SUM('Mid &amp; Assgn - B'!J91:M91),0)</f>
        <v>0</v>
      </c>
      <c r="F88" s="36" t="n">
        <f aca="false">D88+E88</f>
        <v>0</v>
      </c>
      <c r="G88" s="36" t="n">
        <f aca="false">IFERROR(ROUND(F88/30*15,2),0)</f>
        <v>0</v>
      </c>
      <c r="H88" s="36" t="n">
        <f aca="false">IFERROR(SUM('Mid &amp; Assgn - B'!N91:S91),0)</f>
        <v>0</v>
      </c>
      <c r="I88" s="36" t="n">
        <f aca="false">IFERROR(SUM('Mid &amp; Assgn - B'!T91:Y91),0)</f>
        <v>0</v>
      </c>
      <c r="J88" s="36" t="n">
        <f aca="false">H88+I88</f>
        <v>0</v>
      </c>
      <c r="K88" s="36" t="n">
        <f aca="false">IFERROR(ROUND(J88/30*15,2),0)</f>
        <v>0</v>
      </c>
      <c r="L88" s="36" t="n">
        <f aca="false">'Mid &amp; Assgn - B'!Z91</f>
        <v>0</v>
      </c>
      <c r="M88" s="36" t="n">
        <f aca="false">'Mid &amp; Assgn - B'!AA91</f>
        <v>0</v>
      </c>
      <c r="N88" s="36" t="n">
        <f aca="false">'Mid &amp; Assgn - B'!AB91</f>
        <v>0</v>
      </c>
      <c r="O88" s="36" t="n">
        <f aca="false">'Mid &amp; Assgn - B'!AC91</f>
        <v>0</v>
      </c>
      <c r="P88" s="36" t="n">
        <f aca="false">'Mid &amp; Assgn - B'!AD91</f>
        <v>0</v>
      </c>
      <c r="Q88" s="36" t="n">
        <f aca="false">'Mid &amp; Assgn - B'!AE91</f>
        <v>0</v>
      </c>
      <c r="R88" s="36" t="n">
        <f aca="false">IF(D88/30&gt;=0.7,3,IF(D88/30&gt;=0.5,2,IF(D88/30&gt;=0.35,1,0)))</f>
        <v>0</v>
      </c>
      <c r="S88" s="36" t="n">
        <f aca="false">IF(E88/30&gt;=0.7,3,IF(E88/30&gt;=0.5,2,IF(E88/30&gt;=0.35,1,0)))</f>
        <v>0</v>
      </c>
      <c r="T88" s="36" t="n">
        <f aca="false">IF(H88/30&gt;=0.7,3,IF(H88/30&gt;=0.5,2,IF(H88/30&gt;=0.35,1,0)))</f>
        <v>0</v>
      </c>
      <c r="U88" s="36" t="n">
        <f aca="false">IF(I88/30&gt;=0.7,3,IF(I88/30&gt;=0.5,2,IF(I88/30&gt;=0.35,1,0)))</f>
        <v>0</v>
      </c>
      <c r="V88" s="36"/>
      <c r="W88" s="36"/>
      <c r="X88" s="36"/>
      <c r="Y88" s="36"/>
      <c r="Z88" s="36" t="n">
        <f aca="false">G88+K88+L88+M88+N88+O88+P88</f>
        <v>0</v>
      </c>
      <c r="AA88" s="36" t="n">
        <f aca="false">IFERROR(AVERAGE(R88:U88),0)</f>
        <v>0</v>
      </c>
    </row>
    <row r="89" customFormat="false" ht="21.75" hidden="false" customHeight="true" outlineLevel="0" collapsed="false">
      <c r="A89" s="39" t="s">
        <v>62</v>
      </c>
      <c r="B89" s="39"/>
      <c r="C89" s="39"/>
      <c r="D89" s="27" t="n">
        <f aca="false">IFERROR(AVERAGE(D14:D88),"")</f>
        <v>0</v>
      </c>
      <c r="E89" s="27" t="n">
        <f aca="false">IFERROR(AVERAGE(E14:E88),"")</f>
        <v>0</v>
      </c>
      <c r="F89" s="27" t="n">
        <f aca="false">IFERROR(AVERAGE(F14:F88),"")</f>
        <v>0</v>
      </c>
      <c r="G89" s="27" t="n">
        <f aca="false">IFERROR(AVERAGE(G14:G88),"")</f>
        <v>0</v>
      </c>
      <c r="H89" s="27" t="n">
        <f aca="false">IFERROR(AVERAGE(H14:H88),"")</f>
        <v>0</v>
      </c>
      <c r="I89" s="27" t="n">
        <f aca="false">IFERROR(AVERAGE(I14:I88),"")</f>
        <v>0</v>
      </c>
      <c r="J89" s="27" t="n">
        <f aca="false">IFERROR(AVERAGE(J14:J88),"")</f>
        <v>0</v>
      </c>
      <c r="K89" s="27" t="n">
        <f aca="false">IFERROR(AVERAGE(K14:K88),"")</f>
        <v>0</v>
      </c>
      <c r="L89" s="27" t="n">
        <f aca="false">IFERROR(AVERAGE(L14:L88),"")</f>
        <v>0</v>
      </c>
      <c r="M89" s="27" t="n">
        <f aca="false">IFERROR(AVERAGE(M14:M88),"")</f>
        <v>0</v>
      </c>
      <c r="N89" s="27" t="n">
        <f aca="false">IFERROR(AVERAGE(N14:N88),"")</f>
        <v>0</v>
      </c>
      <c r="O89" s="27" t="n">
        <f aca="false">IFERROR(AVERAGE(O14:O88),"")</f>
        <v>0</v>
      </c>
      <c r="P89" s="27" t="n">
        <f aca="false">IFERROR(AVERAGE(P14:P88),"")</f>
        <v>0</v>
      </c>
      <c r="Q89" s="27" t="n">
        <f aca="false">IFERROR(AVERAGE(Q14:Q88),"")</f>
        <v>0</v>
      </c>
      <c r="R89" s="27" t="n">
        <f aca="false">IFERROR(AVERAGE(R14:R88),"")</f>
        <v>0</v>
      </c>
      <c r="S89" s="27" t="n">
        <f aca="false">IFERROR(AVERAGE(S14:S88),"")</f>
        <v>0</v>
      </c>
      <c r="T89" s="27" t="n">
        <f aca="false">IFERROR(AVERAGE(T14:T88),"")</f>
        <v>0</v>
      </c>
      <c r="U89" s="27" t="n">
        <f aca="false">IFERROR(AVERAGE(U14:U88),"")</f>
        <v>0</v>
      </c>
      <c r="V89" s="27" t="str">
        <f aca="false">IFERROR(AVERAGE(V14:V88),"")</f>
        <v/>
      </c>
      <c r="W89" s="27" t="str">
        <f aca="false">IFERROR(AVERAGE(W14:W88),"")</f>
        <v/>
      </c>
      <c r="X89" s="27" t="str">
        <f aca="false">IFERROR(AVERAGE(X14:X88),"")</f>
        <v/>
      </c>
      <c r="Y89" s="27" t="str">
        <f aca="false">IFERROR(AVERAGE(Y14:Y88),"")</f>
        <v/>
      </c>
      <c r="Z89" s="27" t="n">
        <f aca="false">IFERROR(AVERAGE(Z14:Z88),"")</f>
        <v>0</v>
      </c>
      <c r="AA89" s="27" t="n">
        <f aca="false">IFERROR(AVERAGE(AA14:AA88),"")</f>
        <v>0</v>
      </c>
    </row>
    <row r="91" customFormat="false" ht="18" hidden="false" customHeight="true" outlineLevel="0" collapsed="false">
      <c r="A91" s="40" t="s">
        <v>63</v>
      </c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</row>
    <row r="92" customFormat="false" ht="32.8" hidden="false" customHeight="false" outlineLevel="0" collapsed="false">
      <c r="A92" s="41" t="s">
        <v>64</v>
      </c>
      <c r="B92" s="41" t="s">
        <v>65</v>
      </c>
      <c r="C92" s="41" t="s">
        <v>66</v>
      </c>
      <c r="D92" s="41" t="s">
        <v>67</v>
      </c>
      <c r="E92" s="41" t="s">
        <v>68</v>
      </c>
      <c r="F92" s="41" t="s">
        <v>69</v>
      </c>
      <c r="G92" s="41" t="s">
        <v>70</v>
      </c>
      <c r="H92" s="41" t="s">
        <v>71</v>
      </c>
      <c r="I92" s="41" t="s">
        <v>72</v>
      </c>
      <c r="J92" s="41" t="s">
        <v>73</v>
      </c>
      <c r="K92" s="41" t="s">
        <v>74</v>
      </c>
      <c r="L92" s="41" t="s">
        <v>75</v>
      </c>
      <c r="M92" s="41" t="s">
        <v>76</v>
      </c>
      <c r="N92" s="41" t="s">
        <v>77</v>
      </c>
      <c r="O92" s="41" t="s">
        <v>78</v>
      </c>
      <c r="P92" s="42" t="s">
        <v>79</v>
      </c>
    </row>
    <row r="93" customFormat="false" ht="15.75" hidden="false" customHeight="true" outlineLevel="0" collapsed="false">
      <c r="A93" s="43" t="s">
        <v>20</v>
      </c>
      <c r="B93" s="44" t="n">
        <v>3</v>
      </c>
      <c r="C93" s="45" t="n">
        <v>2</v>
      </c>
      <c r="D93" s="46"/>
      <c r="E93" s="46"/>
      <c r="F93" s="46"/>
      <c r="G93" s="46"/>
      <c r="H93" s="46"/>
      <c r="I93" s="46"/>
      <c r="J93" s="46"/>
      <c r="K93" s="46"/>
      <c r="L93" s="46"/>
      <c r="M93" s="47" t="n">
        <v>1</v>
      </c>
      <c r="N93" s="44" t="n">
        <v>3</v>
      </c>
      <c r="O93" s="45" t="n">
        <v>2</v>
      </c>
      <c r="P93" s="48" t="n">
        <f aca="false">R89</f>
        <v>0</v>
      </c>
    </row>
    <row r="94" customFormat="false" ht="15.75" hidden="false" customHeight="true" outlineLevel="0" collapsed="false">
      <c r="A94" s="43" t="s">
        <v>21</v>
      </c>
      <c r="B94" s="44" t="n">
        <v>3</v>
      </c>
      <c r="C94" s="44" t="n">
        <v>3</v>
      </c>
      <c r="D94" s="45" t="n">
        <v>2</v>
      </c>
      <c r="E94" s="46"/>
      <c r="F94" s="46"/>
      <c r="G94" s="46"/>
      <c r="H94" s="46"/>
      <c r="I94" s="46"/>
      <c r="J94" s="46"/>
      <c r="K94" s="46"/>
      <c r="L94" s="46"/>
      <c r="M94" s="47" t="n">
        <v>1</v>
      </c>
      <c r="N94" s="44" t="n">
        <v>3</v>
      </c>
      <c r="O94" s="45" t="n">
        <v>2</v>
      </c>
      <c r="P94" s="48" t="n">
        <f aca="false">S89</f>
        <v>0</v>
      </c>
    </row>
    <row r="95" customFormat="false" ht="15.75" hidden="false" customHeight="true" outlineLevel="0" collapsed="false">
      <c r="A95" s="43" t="s">
        <v>22</v>
      </c>
      <c r="B95" s="44" t="n">
        <v>3</v>
      </c>
      <c r="C95" s="45" t="n">
        <v>2</v>
      </c>
      <c r="D95" s="44" t="n">
        <v>3</v>
      </c>
      <c r="E95" s="47" t="n">
        <v>1</v>
      </c>
      <c r="F95" s="46"/>
      <c r="G95" s="46"/>
      <c r="H95" s="46"/>
      <c r="I95" s="46"/>
      <c r="J95" s="46"/>
      <c r="K95" s="46"/>
      <c r="L95" s="46"/>
      <c r="M95" s="47" t="n">
        <v>1</v>
      </c>
      <c r="N95" s="44" t="n">
        <v>3</v>
      </c>
      <c r="O95" s="45" t="n">
        <v>2</v>
      </c>
      <c r="P95" s="48" t="n">
        <f aca="false">T89</f>
        <v>0</v>
      </c>
    </row>
    <row r="96" customFormat="false" ht="15.75" hidden="false" customHeight="true" outlineLevel="0" collapsed="false">
      <c r="A96" s="43" t="s">
        <v>23</v>
      </c>
      <c r="B96" s="44" t="n">
        <v>3</v>
      </c>
      <c r="C96" s="45" t="n">
        <v>2</v>
      </c>
      <c r="D96" s="45" t="n">
        <v>2</v>
      </c>
      <c r="E96" s="47" t="n">
        <v>1</v>
      </c>
      <c r="F96" s="45" t="n">
        <v>2</v>
      </c>
      <c r="G96" s="46"/>
      <c r="H96" s="46"/>
      <c r="I96" s="46"/>
      <c r="J96" s="46"/>
      <c r="K96" s="46"/>
      <c r="L96" s="46"/>
      <c r="M96" s="47" t="n">
        <v>1</v>
      </c>
      <c r="N96" s="44" t="n">
        <v>3</v>
      </c>
      <c r="O96" s="44" t="n">
        <v>3</v>
      </c>
      <c r="P96" s="48" t="n">
        <f aca="false">U89</f>
        <v>0</v>
      </c>
    </row>
    <row r="97" customFormat="false" ht="15.75" hidden="false" customHeight="true" outlineLevel="0" collapsed="false">
      <c r="A97" s="49" t="s">
        <v>80</v>
      </c>
      <c r="B97" s="50" t="n">
        <v>2.25</v>
      </c>
      <c r="C97" s="50" t="n">
        <v>2.25</v>
      </c>
      <c r="D97" s="50" t="n">
        <v>2.25</v>
      </c>
      <c r="E97" s="50" t="n">
        <v>2.25</v>
      </c>
      <c r="F97" s="50" t="n">
        <v>2.25</v>
      </c>
      <c r="G97" s="50" t="n">
        <v>2.25</v>
      </c>
      <c r="H97" s="50" t="n">
        <v>2.25</v>
      </c>
      <c r="I97" s="50" t="n">
        <v>2.25</v>
      </c>
      <c r="J97" s="50" t="n">
        <v>2.25</v>
      </c>
      <c r="K97" s="50" t="n">
        <v>2.25</v>
      </c>
      <c r="L97" s="50" t="n">
        <v>2.25</v>
      </c>
      <c r="M97" s="50" t="n">
        <v>2.25</v>
      </c>
      <c r="N97" s="50" t="n">
        <v>2.25</v>
      </c>
      <c r="O97" s="50" t="n">
        <v>2.25</v>
      </c>
      <c r="P97" s="50" t="n">
        <v>2.25</v>
      </c>
    </row>
    <row r="99" customFormat="false" ht="15" hidden="false" customHeight="true" outlineLevel="0" collapsed="false">
      <c r="A99" s="29" t="s">
        <v>81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</row>
  </sheetData>
  <mergeCells count="47">
    <mergeCell ref="A1:AG1"/>
    <mergeCell ref="A2:AG2"/>
    <mergeCell ref="A3:AG3"/>
    <mergeCell ref="A4:AG4"/>
    <mergeCell ref="A5:AG5"/>
    <mergeCell ref="A6:AG6"/>
    <mergeCell ref="A7:C7"/>
    <mergeCell ref="D7:K7"/>
    <mergeCell ref="L7:AG7"/>
    <mergeCell ref="A8:C8"/>
    <mergeCell ref="D8:K8"/>
    <mergeCell ref="L8:AG8"/>
    <mergeCell ref="A9:C9"/>
    <mergeCell ref="D9:K9"/>
    <mergeCell ref="L9:AG9"/>
    <mergeCell ref="A10:AG10"/>
    <mergeCell ref="A11:A13"/>
    <mergeCell ref="B11:B13"/>
    <mergeCell ref="C11:C13"/>
    <mergeCell ref="D11:G11"/>
    <mergeCell ref="H11:K11"/>
    <mergeCell ref="L11:N11"/>
    <mergeCell ref="O11:O13"/>
    <mergeCell ref="P11:P13"/>
    <mergeCell ref="Q11:Q13"/>
    <mergeCell ref="R11:U11"/>
    <mergeCell ref="V11:Y11"/>
    <mergeCell ref="Z11:Z13"/>
    <mergeCell ref="AA11:AA13"/>
    <mergeCell ref="F12:F13"/>
    <mergeCell ref="G12:G13"/>
    <mergeCell ref="J12:J13"/>
    <mergeCell ref="K12:K13"/>
    <mergeCell ref="L12:L13"/>
    <mergeCell ref="M12:M13"/>
    <mergeCell ref="N12:N13"/>
    <mergeCell ref="R12:R13"/>
    <mergeCell ref="S12:S13"/>
    <mergeCell ref="T12:T13"/>
    <mergeCell ref="U12:U13"/>
    <mergeCell ref="V12:V13"/>
    <mergeCell ref="W12:W13"/>
    <mergeCell ref="X12:X13"/>
    <mergeCell ref="Y12:Y13"/>
    <mergeCell ref="A89:C89"/>
    <mergeCell ref="A91:AG91"/>
    <mergeCell ref="A99:AG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2026-07-14T05:25:06Z</dcterms:created>
  <dc:creator>openpyxl</dc:creator>
  <dc:description/>
  <dc:language>en-US</dc:language>
  <cp:lastModifiedBy/>
  <dcterms:modified xsi:type="dcterms:W3CDTF">2026-07-14T05:25:09Z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